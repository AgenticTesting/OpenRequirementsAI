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Feature" sheetId="2" state="visible" r:id="rId2"/>
    <sheet xmlns:r="http://schemas.openxmlformats.org/officeDocument/2006/relationships" name="By Priority" sheetId="3" state="visible" r:id="rId3"/>
    <sheet xmlns:r="http://schemas.openxmlformats.org/officeDocument/2006/relationships" name="Defects" sheetId="4" state="visible" r:id="rId4"/>
  </sheets>
  <definedNames>
    <definedName name="_xlnm._FilterDatabase" localSheetId="0" hidden="1">'Summary'!$A$1:$D$1</definedName>
    <definedName name="_xlnm._FilterDatabase" localSheetId="1" hidden="1">'By Feature'!$A$1:$F$1</definedName>
    <definedName name="_xlnm._FilterDatabase" localSheetId="2" hidden="1">'By Priority'!$A$1:$E$1</definedName>
    <definedName name="_xlnm._FilterDatabase" localSheetId="3" hidden="1">'Defects'!$A$1:$E$1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Target</t>
        </is>
      </c>
      <c r="D1" s="1" t="inlineStr">
        <is>
          <t>Status</t>
        </is>
      </c>
    </row>
    <row r="2">
      <c r="A2" s="2" t="inlineStr">
        <is>
          <t>Total Test Cases</t>
        </is>
      </c>
      <c r="B2" s="2" t="n">
        <v>356</v>
      </c>
      <c r="C2" s="2" t="n">
        <v>356</v>
      </c>
      <c r="D2" s="2">
        <f>IF(B2=C2,"Met","Below")</f>
        <v/>
      </c>
    </row>
    <row r="3">
      <c r="A3" s="3" t="inlineStr">
        <is>
          <t>Test Cases Passed</t>
        </is>
      </c>
      <c r="B3" s="3" t="n">
        <v>312</v>
      </c>
      <c r="C3" s="3" t="n">
        <v>340</v>
      </c>
      <c r="D3" s="3">
        <f>IF(B3&gt;=C3,"Acceptable","Failed")</f>
        <v/>
      </c>
    </row>
    <row r="4">
      <c r="A4" s="2" t="inlineStr">
        <is>
          <t>Test Cases Failed</t>
        </is>
      </c>
      <c r="B4" s="2" t="n">
        <v>32</v>
      </c>
      <c r="C4" s="2" t="n">
        <v>16</v>
      </c>
      <c r="D4" s="2">
        <f>IF(B4&lt;=C4,"Acceptable","Above")</f>
        <v/>
      </c>
    </row>
    <row r="5">
      <c r="A5" s="3" t="inlineStr">
        <is>
          <t>Pass Rate %</t>
        </is>
      </c>
      <c r="B5" s="3">
        <f>B3/(B3+B4)*100</f>
        <v/>
      </c>
      <c r="C5" s="3" t="n">
        <v>95</v>
      </c>
      <c r="D5" s="3">
        <f>IF(B5&gt;=C5,"Met","Below")</f>
        <v/>
      </c>
    </row>
    <row r="6">
      <c r="A6" s="2" t="inlineStr">
        <is>
          <t>Defects Found</t>
        </is>
      </c>
      <c r="B6" s="2" t="n">
        <v>32</v>
      </c>
      <c r="C6" s="2" t="n">
        <v>35</v>
      </c>
      <c r="D6" s="2">
        <f>IF(B6&lt;=C6,"Good","High")</f>
        <v/>
      </c>
    </row>
    <row r="7">
      <c r="A7" s="3" t="inlineStr">
        <is>
          <t>Defects Resolved</t>
        </is>
      </c>
      <c r="B7" s="3" t="n">
        <v>28</v>
      </c>
      <c r="C7" s="3" t="n">
        <v>30</v>
      </c>
      <c r="D7" s="3">
        <f>IF(B7&gt;=C7,"Good","Low")</f>
        <v/>
      </c>
    </row>
    <row r="8">
      <c r="A8" s="2" t="inlineStr">
        <is>
          <t>Coverage %</t>
        </is>
      </c>
      <c r="B8" s="2" t="n">
        <v>98</v>
      </c>
      <c r="C8" s="2" t="n">
        <v>95</v>
      </c>
      <c r="D8" s="2">
        <f>IF(B8&gt;=C8,"Excellent","Adequate")</f>
        <v/>
      </c>
    </row>
    <row r="9">
      <c r="A9" s="3" t="inlineStr">
        <is>
          <t>Test Execution Time (days)</t>
        </is>
      </c>
      <c r="B9" s="3" t="n">
        <v>21</v>
      </c>
      <c r="C9" s="3" t="n">
        <v>25</v>
      </c>
      <c r="D9" s="3">
        <f>IF(B9&lt;=C9,"On Time","Delayed")</f>
        <v/>
      </c>
    </row>
  </sheetData>
  <autoFilter ref="A1:D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Feature</t>
        </is>
      </c>
      <c r="B1" s="1" t="inlineStr">
        <is>
          <t>Test Cases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%</t>
        </is>
      </c>
      <c r="F1" s="1" t="inlineStr">
        <is>
          <t>Coverage %</t>
        </is>
      </c>
    </row>
    <row r="2">
      <c r="A2" s="4" t="inlineStr">
        <is>
          <t>Feature_1</t>
        </is>
      </c>
      <c r="B2" s="4" t="n">
        <v>15</v>
      </c>
      <c r="C2" s="4" t="n">
        <v>14</v>
      </c>
      <c r="D2" s="4" t="n">
        <v>1</v>
      </c>
      <c r="E2" s="4">
        <f>14/15*100</f>
        <v/>
      </c>
      <c r="F2" s="4" t="n">
        <v>96</v>
      </c>
    </row>
    <row r="3">
      <c r="A3" s="5" t="inlineStr">
        <is>
          <t>Feature_2</t>
        </is>
      </c>
      <c r="B3" s="5" t="n">
        <v>16</v>
      </c>
      <c r="C3" s="5" t="n">
        <v>14</v>
      </c>
      <c r="D3" s="5" t="n">
        <v>2</v>
      </c>
      <c r="E3" s="5">
        <f>14/16*100</f>
        <v/>
      </c>
      <c r="F3" s="5" t="n">
        <v>97</v>
      </c>
    </row>
    <row r="4">
      <c r="A4" s="4" t="inlineStr">
        <is>
          <t>Feature_3</t>
        </is>
      </c>
      <c r="B4" s="4" t="n">
        <v>17</v>
      </c>
      <c r="C4" s="4" t="n">
        <v>17</v>
      </c>
      <c r="D4" s="4" t="n">
        <v>0</v>
      </c>
      <c r="E4" s="4">
        <f>17/17*100</f>
        <v/>
      </c>
      <c r="F4" s="4" t="n">
        <v>98</v>
      </c>
    </row>
    <row r="5">
      <c r="A5" s="5" t="inlineStr">
        <is>
          <t>Feature_4</t>
        </is>
      </c>
      <c r="B5" s="5" t="n">
        <v>14</v>
      </c>
      <c r="C5" s="5" t="n">
        <v>13</v>
      </c>
      <c r="D5" s="5" t="n">
        <v>1</v>
      </c>
      <c r="E5" s="5">
        <f>13/14*100</f>
        <v/>
      </c>
      <c r="F5" s="5" t="n">
        <v>99</v>
      </c>
    </row>
    <row r="6">
      <c r="A6" s="4" t="inlineStr">
        <is>
          <t>Feature_5</t>
        </is>
      </c>
      <c r="B6" s="4" t="n">
        <v>15</v>
      </c>
      <c r="C6" s="4" t="n">
        <v>13</v>
      </c>
      <c r="D6" s="4" t="n">
        <v>2</v>
      </c>
      <c r="E6" s="4">
        <f>13/15*100</f>
        <v/>
      </c>
      <c r="F6" s="4" t="n">
        <v>95</v>
      </c>
    </row>
    <row r="7">
      <c r="A7" s="5" t="inlineStr">
        <is>
          <t>Feature_6</t>
        </is>
      </c>
      <c r="B7" s="5" t="n">
        <v>16</v>
      </c>
      <c r="C7" s="5" t="n">
        <v>16</v>
      </c>
      <c r="D7" s="5" t="n">
        <v>0</v>
      </c>
      <c r="E7" s="5">
        <f>16/16*100</f>
        <v/>
      </c>
      <c r="F7" s="5" t="n">
        <v>96</v>
      </c>
    </row>
    <row r="8">
      <c r="A8" s="4" t="inlineStr">
        <is>
          <t>Feature_7</t>
        </is>
      </c>
      <c r="B8" s="4" t="n">
        <v>17</v>
      </c>
      <c r="C8" s="4" t="n">
        <v>16</v>
      </c>
      <c r="D8" s="4" t="n">
        <v>1</v>
      </c>
      <c r="E8" s="4">
        <f>16/17*100</f>
        <v/>
      </c>
      <c r="F8" s="4" t="n">
        <v>97</v>
      </c>
    </row>
    <row r="9">
      <c r="A9" s="5" t="inlineStr">
        <is>
          <t>Feature_8</t>
        </is>
      </c>
      <c r="B9" s="5" t="n">
        <v>14</v>
      </c>
      <c r="C9" s="5" t="n">
        <v>12</v>
      </c>
      <c r="D9" s="5" t="n">
        <v>2</v>
      </c>
      <c r="E9" s="5">
        <f>12/14*100</f>
        <v/>
      </c>
      <c r="F9" s="5" t="n">
        <v>98</v>
      </c>
    </row>
    <row r="10">
      <c r="A10" s="4" t="inlineStr">
        <is>
          <t>Feature_9</t>
        </is>
      </c>
      <c r="B10" s="4" t="n">
        <v>15</v>
      </c>
      <c r="C10" s="4" t="n">
        <v>15</v>
      </c>
      <c r="D10" s="4" t="n">
        <v>0</v>
      </c>
      <c r="E10" s="4">
        <f>15/15*100</f>
        <v/>
      </c>
      <c r="F10" s="4" t="n">
        <v>99</v>
      </c>
    </row>
    <row r="11">
      <c r="A11" s="5" t="inlineStr">
        <is>
          <t>Feature_10</t>
        </is>
      </c>
      <c r="B11" s="5" t="n">
        <v>16</v>
      </c>
      <c r="C11" s="5" t="n">
        <v>15</v>
      </c>
      <c r="D11" s="5" t="n">
        <v>1</v>
      </c>
      <c r="E11" s="5">
        <f>15/16*100</f>
        <v/>
      </c>
      <c r="F11" s="5" t="n">
        <v>95</v>
      </c>
    </row>
    <row r="12">
      <c r="A12" s="4" t="inlineStr">
        <is>
          <t>Feature_11</t>
        </is>
      </c>
      <c r="B12" s="4" t="n">
        <v>17</v>
      </c>
      <c r="C12" s="4" t="n">
        <v>15</v>
      </c>
      <c r="D12" s="4" t="n">
        <v>2</v>
      </c>
      <c r="E12" s="4">
        <f>15/17*100</f>
        <v/>
      </c>
      <c r="F12" s="4" t="n">
        <v>96</v>
      </c>
    </row>
    <row r="13">
      <c r="A13" s="5" t="inlineStr">
        <is>
          <t>Feature_12</t>
        </is>
      </c>
      <c r="B13" s="5" t="n">
        <v>14</v>
      </c>
      <c r="C13" s="5" t="n">
        <v>14</v>
      </c>
      <c r="D13" s="5" t="n">
        <v>0</v>
      </c>
      <c r="E13" s="5">
        <f>14/14*100</f>
        <v/>
      </c>
      <c r="F13" s="5" t="n">
        <v>97</v>
      </c>
    </row>
    <row r="14">
      <c r="A14" s="4" t="inlineStr">
        <is>
          <t>Feature_13</t>
        </is>
      </c>
      <c r="B14" s="4" t="n">
        <v>15</v>
      </c>
      <c r="C14" s="4" t="n">
        <v>14</v>
      </c>
      <c r="D14" s="4" t="n">
        <v>1</v>
      </c>
      <c r="E14" s="4">
        <f>14/15*100</f>
        <v/>
      </c>
      <c r="F14" s="4" t="n">
        <v>98</v>
      </c>
    </row>
    <row r="15">
      <c r="A15" s="5" t="inlineStr">
        <is>
          <t>Feature_14</t>
        </is>
      </c>
      <c r="B15" s="5" t="n">
        <v>16</v>
      </c>
      <c r="C15" s="5" t="n">
        <v>14</v>
      </c>
      <c r="D15" s="5" t="n">
        <v>2</v>
      </c>
      <c r="E15" s="5">
        <f>14/16*100</f>
        <v/>
      </c>
      <c r="F15" s="5" t="n">
        <v>99</v>
      </c>
    </row>
    <row r="16">
      <c r="A16" s="4" t="inlineStr">
        <is>
          <t>Feature_15</t>
        </is>
      </c>
      <c r="B16" s="4" t="n">
        <v>17</v>
      </c>
      <c r="C16" s="4" t="n">
        <v>17</v>
      </c>
      <c r="D16" s="4" t="n">
        <v>0</v>
      </c>
      <c r="E16" s="4">
        <f>17/17*100</f>
        <v/>
      </c>
      <c r="F16" s="4" t="n">
        <v>95</v>
      </c>
    </row>
    <row r="17">
      <c r="A17" s="5" t="inlineStr">
        <is>
          <t>Feature_16</t>
        </is>
      </c>
      <c r="B17" s="5" t="n">
        <v>14</v>
      </c>
      <c r="C17" s="5" t="n">
        <v>13</v>
      </c>
      <c r="D17" s="5" t="n">
        <v>1</v>
      </c>
      <c r="E17" s="5">
        <f>13/14*100</f>
        <v/>
      </c>
      <c r="F17" s="5" t="n">
        <v>96</v>
      </c>
    </row>
    <row r="18">
      <c r="A18" s="4" t="inlineStr">
        <is>
          <t>Feature_17</t>
        </is>
      </c>
      <c r="B18" s="4" t="n">
        <v>15</v>
      </c>
      <c r="C18" s="4" t="n">
        <v>13</v>
      </c>
      <c r="D18" s="4" t="n">
        <v>2</v>
      </c>
      <c r="E18" s="4">
        <f>13/15*100</f>
        <v/>
      </c>
      <c r="F18" s="4" t="n">
        <v>97</v>
      </c>
    </row>
    <row r="19">
      <c r="A19" s="5" t="inlineStr">
        <is>
          <t>Feature_18</t>
        </is>
      </c>
      <c r="B19" s="5" t="n">
        <v>16</v>
      </c>
      <c r="C19" s="5" t="n">
        <v>16</v>
      </c>
      <c r="D19" s="5" t="n">
        <v>0</v>
      </c>
      <c r="E19" s="5">
        <f>16/16*100</f>
        <v/>
      </c>
      <c r="F19" s="5" t="n">
        <v>98</v>
      </c>
    </row>
    <row r="20">
      <c r="A20" s="4" t="inlineStr">
        <is>
          <t>Feature_19</t>
        </is>
      </c>
      <c r="B20" s="4" t="n">
        <v>17</v>
      </c>
      <c r="C20" s="4" t="n">
        <v>16</v>
      </c>
      <c r="D20" s="4" t="n">
        <v>1</v>
      </c>
      <c r="E20" s="4">
        <f>16/17*100</f>
        <v/>
      </c>
      <c r="F20" s="4" t="n">
        <v>99</v>
      </c>
    </row>
    <row r="21">
      <c r="A21" s="5" t="inlineStr">
        <is>
          <t>Feature_20</t>
        </is>
      </c>
      <c r="B21" s="5" t="n">
        <v>14</v>
      </c>
      <c r="C21" s="5" t="n">
        <v>12</v>
      </c>
      <c r="D21" s="5" t="n">
        <v>2</v>
      </c>
      <c r="E21" s="5">
        <f>12/14*100</f>
        <v/>
      </c>
      <c r="F21" s="5" t="n">
        <v>95</v>
      </c>
    </row>
    <row r="22">
      <c r="A22" s="4" t="inlineStr">
        <is>
          <t>Feature_21</t>
        </is>
      </c>
      <c r="B22" s="4" t="n">
        <v>15</v>
      </c>
      <c r="C22" s="4" t="n">
        <v>15</v>
      </c>
      <c r="D22" s="4" t="n">
        <v>0</v>
      </c>
      <c r="E22" s="4">
        <f>15/15*100</f>
        <v/>
      </c>
      <c r="F22" s="4" t="n">
        <v>96</v>
      </c>
    </row>
    <row r="23">
      <c r="A23" s="5" t="inlineStr">
        <is>
          <t>Feature_22</t>
        </is>
      </c>
      <c r="B23" s="5" t="n">
        <v>16</v>
      </c>
      <c r="C23" s="5" t="n">
        <v>15</v>
      </c>
      <c r="D23" s="5" t="n">
        <v>1</v>
      </c>
      <c r="E23" s="5">
        <f>15/16*100</f>
        <v/>
      </c>
      <c r="F23" s="5" t="n">
        <v>97</v>
      </c>
    </row>
    <row r="24">
      <c r="A24" s="4" t="inlineStr">
        <is>
          <t>Feature_23</t>
        </is>
      </c>
      <c r="B24" s="4" t="n">
        <v>17</v>
      </c>
      <c r="C24" s="4" t="n">
        <v>15</v>
      </c>
      <c r="D24" s="4" t="n">
        <v>2</v>
      </c>
      <c r="E24" s="4">
        <f>15/17*100</f>
        <v/>
      </c>
      <c r="F24" s="4" t="n">
        <v>98</v>
      </c>
    </row>
    <row r="25">
      <c r="A25" s="5" t="inlineStr">
        <is>
          <t>Feature_24</t>
        </is>
      </c>
      <c r="B25" s="5" t="n">
        <v>14</v>
      </c>
      <c r="C25" s="5" t="n">
        <v>14</v>
      </c>
      <c r="D25" s="5" t="n">
        <v>0</v>
      </c>
      <c r="E25" s="5">
        <f>14/14*100</f>
        <v/>
      </c>
      <c r="F25" s="5" t="n">
        <v>99</v>
      </c>
    </row>
    <row r="26">
      <c r="A26" s="4" t="inlineStr">
        <is>
          <t>Feature_25</t>
        </is>
      </c>
      <c r="B26" s="4" t="n">
        <v>15</v>
      </c>
      <c r="C26" s="4" t="n">
        <v>14</v>
      </c>
      <c r="D26" s="4" t="n">
        <v>1</v>
      </c>
      <c r="E26" s="4">
        <f>14/15*100</f>
        <v/>
      </c>
      <c r="F26" s="4" t="n">
        <v>95</v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Priority</t>
        </is>
      </c>
      <c r="B1" s="1" t="inlineStr">
        <is>
          <t>Count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%</t>
        </is>
      </c>
    </row>
    <row r="2">
      <c r="A2" s="4" t="inlineStr">
        <is>
          <t>P0</t>
        </is>
      </c>
      <c r="B2" s="4" t="n">
        <v>79</v>
      </c>
      <c r="C2" s="4" t="n">
        <v>77</v>
      </c>
      <c r="D2" s="4" t="n">
        <v>2</v>
      </c>
      <c r="E2" s="4">
        <f>77/79*100</f>
        <v/>
      </c>
    </row>
    <row r="3">
      <c r="A3" s="5" t="inlineStr">
        <is>
          <t>P1</t>
        </is>
      </c>
      <c r="B3" s="5" t="n">
        <v>69</v>
      </c>
      <c r="C3" s="5" t="n">
        <v>65</v>
      </c>
      <c r="D3" s="5" t="n">
        <v>4</v>
      </c>
      <c r="E3" s="5">
        <f>65/69*100</f>
        <v/>
      </c>
    </row>
    <row r="4">
      <c r="A4" s="4" t="inlineStr">
        <is>
          <t>P2</t>
        </is>
      </c>
      <c r="B4" s="4" t="n">
        <v>59</v>
      </c>
      <c r="C4" s="4" t="n">
        <v>53</v>
      </c>
      <c r="D4" s="4" t="n">
        <v>6</v>
      </c>
      <c r="E4" s="4">
        <f>53/59*100</f>
        <v/>
      </c>
    </row>
    <row r="5">
      <c r="A5" s="5" t="inlineStr">
        <is>
          <t>P3</t>
        </is>
      </c>
      <c r="B5" s="5" t="n">
        <v>49</v>
      </c>
      <c r="C5" s="5" t="n">
        <v>41</v>
      </c>
      <c r="D5" s="5" t="n">
        <v>8</v>
      </c>
      <c r="E5" s="5">
        <f>41/49*100</f>
        <v/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4" customWidth="1" min="5" max="5"/>
  </cols>
  <sheetData>
    <row r="1">
      <c r="A1" s="1" t="inlineStr">
        <is>
          <t>Defect ID</t>
        </is>
      </c>
      <c r="B1" s="1" t="inlineStr">
        <is>
          <t>Severity</t>
        </is>
      </c>
      <c r="C1" s="1" t="inlineStr">
        <is>
          <t>Status</t>
        </is>
      </c>
      <c r="D1" s="1" t="inlineStr">
        <is>
          <t>Component</t>
        </is>
      </c>
      <c r="E1" s="1" t="inlineStr">
        <is>
          <t>Found By</t>
        </is>
      </c>
    </row>
    <row r="2">
      <c r="A2" s="4" t="inlineStr">
        <is>
          <t>DEF001</t>
        </is>
      </c>
      <c r="B2" s="4" t="inlineStr">
        <is>
          <t>Major</t>
        </is>
      </c>
      <c r="C2" s="4" t="inlineStr">
        <is>
          <t>In Progress</t>
        </is>
      </c>
      <c r="D2" s="4" t="inlineStr">
        <is>
          <t>Shopping Cart</t>
        </is>
      </c>
      <c r="E2" s="4" t="inlineStr">
        <is>
          <t>Tester2</t>
        </is>
      </c>
    </row>
    <row r="3">
      <c r="A3" s="5" t="inlineStr">
        <is>
          <t>DEF002</t>
        </is>
      </c>
      <c r="B3" s="5" t="inlineStr">
        <is>
          <t>Minor</t>
        </is>
      </c>
      <c r="C3" s="5" t="inlineStr">
        <is>
          <t>Fixed</t>
        </is>
      </c>
      <c r="D3" s="5" t="inlineStr">
        <is>
          <t>Checkout</t>
        </is>
      </c>
      <c r="E3" s="5" t="inlineStr">
        <is>
          <t>Tester3</t>
        </is>
      </c>
    </row>
    <row r="4">
      <c r="A4" s="4" t="inlineStr">
        <is>
          <t>DEF003</t>
        </is>
      </c>
      <c r="B4" s="4" t="inlineStr">
        <is>
          <t>Trivial</t>
        </is>
      </c>
      <c r="C4" s="4" t="inlineStr">
        <is>
          <t>Closed</t>
        </is>
      </c>
      <c r="D4" s="4" t="inlineStr">
        <is>
          <t>Payment</t>
        </is>
      </c>
      <c r="E4" s="4" t="inlineStr">
        <is>
          <t>Tester1</t>
        </is>
      </c>
    </row>
    <row r="5">
      <c r="A5" s="5" t="inlineStr">
        <is>
          <t>DEF004</t>
        </is>
      </c>
      <c r="B5" s="5" t="inlineStr">
        <is>
          <t>Critical</t>
        </is>
      </c>
      <c r="C5" s="5" t="inlineStr">
        <is>
          <t>Open</t>
        </is>
      </c>
      <c r="D5" s="5" t="inlineStr">
        <is>
          <t>User Management</t>
        </is>
      </c>
      <c r="E5" s="5" t="inlineStr">
        <is>
          <t>Tester2</t>
        </is>
      </c>
    </row>
    <row r="6">
      <c r="A6" s="4" t="inlineStr">
        <is>
          <t>DEF005</t>
        </is>
      </c>
      <c r="B6" s="4" t="inlineStr">
        <is>
          <t>Major</t>
        </is>
      </c>
      <c r="C6" s="4" t="inlineStr">
        <is>
          <t>In Progress</t>
        </is>
      </c>
      <c r="D6" s="4" t="inlineStr">
        <is>
          <t>Orders</t>
        </is>
      </c>
      <c r="E6" s="4" t="inlineStr">
        <is>
          <t>Tester3</t>
        </is>
      </c>
    </row>
    <row r="7">
      <c r="A7" s="5" t="inlineStr">
        <is>
          <t>DEF006</t>
        </is>
      </c>
      <c r="B7" s="5" t="inlineStr">
        <is>
          <t>Minor</t>
        </is>
      </c>
      <c r="C7" s="5" t="inlineStr">
        <is>
          <t>Fixed</t>
        </is>
      </c>
      <c r="D7" s="5" t="inlineStr">
        <is>
          <t>Customers</t>
        </is>
      </c>
      <c r="E7" s="5" t="inlineStr">
        <is>
          <t>Tester1</t>
        </is>
      </c>
    </row>
    <row r="8">
      <c r="A8" s="4" t="inlineStr">
        <is>
          <t>DEF007</t>
        </is>
      </c>
      <c r="B8" s="4" t="inlineStr">
        <is>
          <t>Trivial</t>
        </is>
      </c>
      <c r="C8" s="4" t="inlineStr">
        <is>
          <t>Closed</t>
        </is>
      </c>
      <c r="D8" s="4" t="inlineStr">
        <is>
          <t>Inventory</t>
        </is>
      </c>
      <c r="E8" s="4" t="inlineStr">
        <is>
          <t>Tester2</t>
        </is>
      </c>
    </row>
    <row r="9">
      <c r="A9" s="5" t="inlineStr">
        <is>
          <t>DEF008</t>
        </is>
      </c>
      <c r="B9" s="5" t="inlineStr">
        <is>
          <t>Critical</t>
        </is>
      </c>
      <c r="C9" s="5" t="inlineStr">
        <is>
          <t>Open</t>
        </is>
      </c>
      <c r="D9" s="5" t="inlineStr">
        <is>
          <t>Search</t>
        </is>
      </c>
      <c r="E9" s="5" t="inlineStr">
        <is>
          <t>Tester3</t>
        </is>
      </c>
    </row>
    <row r="10">
      <c r="A10" s="4" t="inlineStr">
        <is>
          <t>DEF009</t>
        </is>
      </c>
      <c r="B10" s="4" t="inlineStr">
        <is>
          <t>Major</t>
        </is>
      </c>
      <c r="C10" s="4" t="inlineStr">
        <is>
          <t>In Progress</t>
        </is>
      </c>
      <c r="D10" s="4" t="inlineStr">
        <is>
          <t>Reviews</t>
        </is>
      </c>
      <c r="E10" s="4" t="inlineStr">
        <is>
          <t>Tester1</t>
        </is>
      </c>
    </row>
    <row r="11">
      <c r="A11" s="5" t="inlineStr">
        <is>
          <t>DEF010</t>
        </is>
      </c>
      <c r="B11" s="5" t="inlineStr">
        <is>
          <t>Minor</t>
        </is>
      </c>
      <c r="C11" s="5" t="inlineStr">
        <is>
          <t>Fixed</t>
        </is>
      </c>
      <c r="D11" s="5" t="inlineStr">
        <is>
          <t>Product Catalog</t>
        </is>
      </c>
      <c r="E11" s="5" t="inlineStr">
        <is>
          <t>Tester2</t>
        </is>
      </c>
    </row>
    <row r="12">
      <c r="A12" s="4" t="inlineStr">
        <is>
          <t>DEF011</t>
        </is>
      </c>
      <c r="B12" s="4" t="inlineStr">
        <is>
          <t>Trivial</t>
        </is>
      </c>
      <c r="C12" s="4" t="inlineStr">
        <is>
          <t>Closed</t>
        </is>
      </c>
      <c r="D12" s="4" t="inlineStr">
        <is>
          <t>Shopping Cart</t>
        </is>
      </c>
      <c r="E12" s="4" t="inlineStr">
        <is>
          <t>Tester3</t>
        </is>
      </c>
    </row>
    <row r="13">
      <c r="A13" s="5" t="inlineStr">
        <is>
          <t>DEF012</t>
        </is>
      </c>
      <c r="B13" s="5" t="inlineStr">
        <is>
          <t>Critical</t>
        </is>
      </c>
      <c r="C13" s="5" t="inlineStr">
        <is>
          <t>Open</t>
        </is>
      </c>
      <c r="D13" s="5" t="inlineStr">
        <is>
          <t>Checkout</t>
        </is>
      </c>
      <c r="E13" s="5" t="inlineStr">
        <is>
          <t>Tester1</t>
        </is>
      </c>
    </row>
    <row r="14">
      <c r="A14" s="4" t="inlineStr">
        <is>
          <t>DEF013</t>
        </is>
      </c>
      <c r="B14" s="4" t="inlineStr">
        <is>
          <t>Major</t>
        </is>
      </c>
      <c r="C14" s="4" t="inlineStr">
        <is>
          <t>In Progress</t>
        </is>
      </c>
      <c r="D14" s="4" t="inlineStr">
        <is>
          <t>Payment</t>
        </is>
      </c>
      <c r="E14" s="4" t="inlineStr">
        <is>
          <t>Tester2</t>
        </is>
      </c>
    </row>
    <row r="15">
      <c r="A15" s="5" t="inlineStr">
        <is>
          <t>DEF014</t>
        </is>
      </c>
      <c r="B15" s="5" t="inlineStr">
        <is>
          <t>Minor</t>
        </is>
      </c>
      <c r="C15" s="5" t="inlineStr">
        <is>
          <t>Fixed</t>
        </is>
      </c>
      <c r="D15" s="5" t="inlineStr">
        <is>
          <t>User Management</t>
        </is>
      </c>
      <c r="E15" s="5" t="inlineStr">
        <is>
          <t>Tester3</t>
        </is>
      </c>
    </row>
    <row r="16">
      <c r="A16" s="4" t="inlineStr">
        <is>
          <t>DEF015</t>
        </is>
      </c>
      <c r="B16" s="4" t="inlineStr">
        <is>
          <t>Trivial</t>
        </is>
      </c>
      <c r="C16" s="4" t="inlineStr">
        <is>
          <t>Closed</t>
        </is>
      </c>
      <c r="D16" s="4" t="inlineStr">
        <is>
          <t>Orders</t>
        </is>
      </c>
      <c r="E16" s="4" t="inlineStr">
        <is>
          <t>Tester1</t>
        </is>
      </c>
    </row>
    <row r="17">
      <c r="A17" s="5" t="inlineStr">
        <is>
          <t>DEF016</t>
        </is>
      </c>
      <c r="B17" s="5" t="inlineStr">
        <is>
          <t>Critical</t>
        </is>
      </c>
      <c r="C17" s="5" t="inlineStr">
        <is>
          <t>Open</t>
        </is>
      </c>
      <c r="D17" s="5" t="inlineStr">
        <is>
          <t>Customers</t>
        </is>
      </c>
      <c r="E17" s="5" t="inlineStr">
        <is>
          <t>Tester2</t>
        </is>
      </c>
    </row>
    <row r="18">
      <c r="A18" s="4" t="inlineStr">
        <is>
          <t>DEF017</t>
        </is>
      </c>
      <c r="B18" s="4" t="inlineStr">
        <is>
          <t>Major</t>
        </is>
      </c>
      <c r="C18" s="4" t="inlineStr">
        <is>
          <t>In Progress</t>
        </is>
      </c>
      <c r="D18" s="4" t="inlineStr">
        <is>
          <t>Inventory</t>
        </is>
      </c>
      <c r="E18" s="4" t="inlineStr">
        <is>
          <t>Tester3</t>
        </is>
      </c>
    </row>
    <row r="19">
      <c r="A19" s="5" t="inlineStr">
        <is>
          <t>DEF018</t>
        </is>
      </c>
      <c r="B19" s="5" t="inlineStr">
        <is>
          <t>Minor</t>
        </is>
      </c>
      <c r="C19" s="5" t="inlineStr">
        <is>
          <t>Fixed</t>
        </is>
      </c>
      <c r="D19" s="5" t="inlineStr">
        <is>
          <t>Search</t>
        </is>
      </c>
      <c r="E19" s="5" t="inlineStr">
        <is>
          <t>Tester1</t>
        </is>
      </c>
    </row>
    <row r="20">
      <c r="A20" s="4" t="inlineStr">
        <is>
          <t>DEF019</t>
        </is>
      </c>
      <c r="B20" s="4" t="inlineStr">
        <is>
          <t>Trivial</t>
        </is>
      </c>
      <c r="C20" s="4" t="inlineStr">
        <is>
          <t>Closed</t>
        </is>
      </c>
      <c r="D20" s="4" t="inlineStr">
        <is>
          <t>Reviews</t>
        </is>
      </c>
      <c r="E20" s="4" t="inlineStr">
        <is>
          <t>Tester2</t>
        </is>
      </c>
    </row>
    <row r="21">
      <c r="A21" s="5" t="inlineStr">
        <is>
          <t>DEF020</t>
        </is>
      </c>
      <c r="B21" s="5" t="inlineStr">
        <is>
          <t>Critical</t>
        </is>
      </c>
      <c r="C21" s="5" t="inlineStr">
        <is>
          <t>Open</t>
        </is>
      </c>
      <c r="D21" s="5" t="inlineStr">
        <is>
          <t>Product Catalog</t>
        </is>
      </c>
      <c r="E21" s="5" t="inlineStr">
        <is>
          <t>Tester3</t>
        </is>
      </c>
    </row>
    <row r="22">
      <c r="A22" s="4" t="inlineStr">
        <is>
          <t>DEF021</t>
        </is>
      </c>
      <c r="B22" s="4" t="inlineStr">
        <is>
          <t>Major</t>
        </is>
      </c>
      <c r="C22" s="4" t="inlineStr">
        <is>
          <t>In Progress</t>
        </is>
      </c>
      <c r="D22" s="4" t="inlineStr">
        <is>
          <t>Shopping Cart</t>
        </is>
      </c>
      <c r="E22" s="4" t="inlineStr">
        <is>
          <t>Tester1</t>
        </is>
      </c>
    </row>
    <row r="23">
      <c r="A23" s="5" t="inlineStr">
        <is>
          <t>DEF022</t>
        </is>
      </c>
      <c r="B23" s="5" t="inlineStr">
        <is>
          <t>Minor</t>
        </is>
      </c>
      <c r="C23" s="5" t="inlineStr">
        <is>
          <t>Fixed</t>
        </is>
      </c>
      <c r="D23" s="5" t="inlineStr">
        <is>
          <t>Checkout</t>
        </is>
      </c>
      <c r="E23" s="5" t="inlineStr">
        <is>
          <t>Tester2</t>
        </is>
      </c>
    </row>
    <row r="24">
      <c r="A24" s="4" t="inlineStr">
        <is>
          <t>DEF023</t>
        </is>
      </c>
      <c r="B24" s="4" t="inlineStr">
        <is>
          <t>Trivial</t>
        </is>
      </c>
      <c r="C24" s="4" t="inlineStr">
        <is>
          <t>Closed</t>
        </is>
      </c>
      <c r="D24" s="4" t="inlineStr">
        <is>
          <t>Payment</t>
        </is>
      </c>
      <c r="E24" s="4" t="inlineStr">
        <is>
          <t>Tester3</t>
        </is>
      </c>
    </row>
    <row r="25">
      <c r="A25" s="5" t="inlineStr">
        <is>
          <t>DEF024</t>
        </is>
      </c>
      <c r="B25" s="5" t="inlineStr">
        <is>
          <t>Critical</t>
        </is>
      </c>
      <c r="C25" s="5" t="inlineStr">
        <is>
          <t>Open</t>
        </is>
      </c>
      <c r="D25" s="5" t="inlineStr">
        <is>
          <t>User Management</t>
        </is>
      </c>
      <c r="E25" s="5" t="inlineStr">
        <is>
          <t>Tester1</t>
        </is>
      </c>
    </row>
    <row r="26">
      <c r="A26" s="4" t="inlineStr">
        <is>
          <t>DEF025</t>
        </is>
      </c>
      <c r="B26" s="4" t="inlineStr">
        <is>
          <t>Major</t>
        </is>
      </c>
      <c r="C26" s="4" t="inlineStr">
        <is>
          <t>In Progress</t>
        </is>
      </c>
      <c r="D26" s="4" t="inlineStr">
        <is>
          <t>Orders</t>
        </is>
      </c>
      <c r="E26" s="4" t="inlineStr">
        <is>
          <t>Tester2</t>
        </is>
      </c>
    </row>
    <row r="27">
      <c r="A27" s="5" t="inlineStr">
        <is>
          <t>DEF026</t>
        </is>
      </c>
      <c r="B27" s="5" t="inlineStr">
        <is>
          <t>Minor</t>
        </is>
      </c>
      <c r="C27" s="5" t="inlineStr">
        <is>
          <t>Fixed</t>
        </is>
      </c>
      <c r="D27" s="5" t="inlineStr">
        <is>
          <t>Customers</t>
        </is>
      </c>
      <c r="E27" s="5" t="inlineStr">
        <is>
          <t>Tester3</t>
        </is>
      </c>
    </row>
    <row r="28">
      <c r="A28" s="4" t="inlineStr">
        <is>
          <t>DEF027</t>
        </is>
      </c>
      <c r="B28" s="4" t="inlineStr">
        <is>
          <t>Trivial</t>
        </is>
      </c>
      <c r="C28" s="4" t="inlineStr">
        <is>
          <t>Closed</t>
        </is>
      </c>
      <c r="D28" s="4" t="inlineStr">
        <is>
          <t>Inventory</t>
        </is>
      </c>
      <c r="E28" s="4" t="inlineStr">
        <is>
          <t>Tester1</t>
        </is>
      </c>
    </row>
    <row r="29">
      <c r="A29" s="5" t="inlineStr">
        <is>
          <t>DEF028</t>
        </is>
      </c>
      <c r="B29" s="5" t="inlineStr">
        <is>
          <t>Critical</t>
        </is>
      </c>
      <c r="C29" s="5" t="inlineStr">
        <is>
          <t>Open</t>
        </is>
      </c>
      <c r="D29" s="5" t="inlineStr">
        <is>
          <t>Search</t>
        </is>
      </c>
      <c r="E29" s="5" t="inlineStr">
        <is>
          <t>Tester2</t>
        </is>
      </c>
    </row>
    <row r="30">
      <c r="A30" s="4" t="inlineStr">
        <is>
          <t>DEF029</t>
        </is>
      </c>
      <c r="B30" s="4" t="inlineStr">
        <is>
          <t>Major</t>
        </is>
      </c>
      <c r="C30" s="4" t="inlineStr">
        <is>
          <t>In Progress</t>
        </is>
      </c>
      <c r="D30" s="4" t="inlineStr">
        <is>
          <t>Reviews</t>
        </is>
      </c>
      <c r="E30" s="4" t="inlineStr">
        <is>
          <t>Tester3</t>
        </is>
      </c>
    </row>
    <row r="31">
      <c r="A31" s="5" t="inlineStr">
        <is>
          <t>DEF030</t>
        </is>
      </c>
      <c r="B31" s="5" t="inlineStr">
        <is>
          <t>Minor</t>
        </is>
      </c>
      <c r="C31" s="5" t="inlineStr">
        <is>
          <t>Fixed</t>
        </is>
      </c>
      <c r="D31" s="5" t="inlineStr">
        <is>
          <t>Product Catalog</t>
        </is>
      </c>
      <c r="E31" s="5" t="inlineStr">
        <is>
          <t>Tester1</t>
        </is>
      </c>
    </row>
    <row r="32">
      <c r="A32" s="4" t="inlineStr">
        <is>
          <t>DEF031</t>
        </is>
      </c>
      <c r="B32" s="4" t="inlineStr">
        <is>
          <t>Trivial</t>
        </is>
      </c>
      <c r="C32" s="4" t="inlineStr">
        <is>
          <t>Closed</t>
        </is>
      </c>
      <c r="D32" s="4" t="inlineStr">
        <is>
          <t>Shopping Cart</t>
        </is>
      </c>
      <c r="E32" s="4" t="inlineStr">
        <is>
          <t>Tester2</t>
        </is>
      </c>
    </row>
    <row r="33">
      <c r="A33" s="5" t="inlineStr">
        <is>
          <t>DEF032</t>
        </is>
      </c>
      <c r="B33" s="5" t="inlineStr">
        <is>
          <t>Critical</t>
        </is>
      </c>
      <c r="C33" s="5" t="inlineStr">
        <is>
          <t>Open</t>
        </is>
      </c>
      <c r="D33" s="5" t="inlineStr">
        <is>
          <t>Checkout</t>
        </is>
      </c>
      <c r="E33" s="5" t="inlineStr">
        <is>
          <t>Tester3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2026-04-06T12:15:01Z</dcterms:created>
  <dcterms:modified xmlns:dcterms="http://purl.org/dc/terms/" xmlns:xsi="http://www.w3.org/2001/XMLSchema-instance" xsi:type="dcterms:W3CDTF">2026-04-06T12:15:01Z</dcterms:modified>
</cp:coreProperties>
</file>