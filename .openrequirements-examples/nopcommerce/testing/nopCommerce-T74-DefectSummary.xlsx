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everity" sheetId="1" state="visible" r:id="rId1"/>
    <sheet xmlns:r="http://schemas.openxmlformats.org/officeDocument/2006/relationships" name="By Status" sheetId="2" state="visible" r:id="rId2"/>
    <sheet xmlns:r="http://schemas.openxmlformats.org/officeDocument/2006/relationships" name="By Component" sheetId="3" state="visible" r:id="rId3"/>
  </sheets>
  <definedNames>
    <definedName name="_xlnm._FilterDatabase" localSheetId="0" hidden="1">'By Severity'!$A$1:$D$1</definedName>
    <definedName name="_xlnm._FilterDatabase" localSheetId="1" hidden="1">'By Status'!$A$1:$D$1</definedName>
    <definedName name="_xlnm._FilterDatabase" localSheetId="2" hidden="1">'By Component'!$A$1:$F$1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Status Distribution</t>
        </is>
      </c>
    </row>
    <row r="2">
      <c r="A2" s="2" t="inlineStr">
        <is>
          <t>Critical</t>
        </is>
      </c>
      <c r="B2" s="2" t="n">
        <v>8</v>
      </c>
      <c r="C2" s="2">
        <f>8/32*100</f>
        <v/>
      </c>
      <c r="D2" s="2" t="inlineStr">
        <is>
          <t>Closed</t>
        </is>
      </c>
    </row>
    <row r="3">
      <c r="A3" s="3" t="inlineStr">
        <is>
          <t>Major</t>
        </is>
      </c>
      <c r="B3" s="3" t="n">
        <v>15</v>
      </c>
      <c r="C3" s="3">
        <f>15/32*100</f>
        <v/>
      </c>
      <c r="D3" s="3" t="inlineStr">
        <is>
          <t>Open</t>
        </is>
      </c>
    </row>
    <row r="4">
      <c r="A4" s="2" t="inlineStr">
        <is>
          <t>Minor</t>
        </is>
      </c>
      <c r="B4" s="2" t="n">
        <v>6</v>
      </c>
      <c r="C4" s="2">
        <f>6/32*100</f>
        <v/>
      </c>
      <c r="D4" s="2" t="inlineStr">
        <is>
          <t>Fixed</t>
        </is>
      </c>
    </row>
    <row r="5">
      <c r="A5" s="3" t="inlineStr">
        <is>
          <t>Trivial</t>
        </is>
      </c>
      <c r="B5" s="3" t="n">
        <v>3</v>
      </c>
      <c r="C5" s="3">
        <f>3/32*100</f>
        <v/>
      </c>
      <c r="D5" s="3" t="inlineStr">
        <is>
          <t>Closed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Average Age (days)</t>
        </is>
      </c>
    </row>
    <row r="2">
      <c r="A2" s="2" t="inlineStr">
        <is>
          <t>New</t>
        </is>
      </c>
      <c r="B2" s="2" t="n">
        <v>5</v>
      </c>
      <c r="C2" s="2">
        <f>5/32*100</f>
        <v/>
      </c>
      <c r="D2" s="2" t="n">
        <v>12</v>
      </c>
    </row>
    <row r="3">
      <c r="A3" s="3" t="inlineStr">
        <is>
          <t>Open</t>
        </is>
      </c>
      <c r="B3" s="3" t="n">
        <v>12</v>
      </c>
      <c r="C3" s="3">
        <f>12/32*100</f>
        <v/>
      </c>
      <c r="D3" s="3" t="n">
        <v>13</v>
      </c>
    </row>
    <row r="4">
      <c r="A4" s="2" t="inlineStr">
        <is>
          <t>In Progress</t>
        </is>
      </c>
      <c r="B4" s="2" t="n">
        <v>8</v>
      </c>
      <c r="C4" s="2">
        <f>8/32*100</f>
        <v/>
      </c>
      <c r="D4" s="2" t="n">
        <v>14</v>
      </c>
    </row>
    <row r="5">
      <c r="A5" s="3" t="inlineStr">
        <is>
          <t>Fixed</t>
        </is>
      </c>
      <c r="B5" s="3" t="n">
        <v>5</v>
      </c>
      <c r="C5" s="3">
        <f>5/32*100</f>
        <v/>
      </c>
      <c r="D5" s="3" t="n">
        <v>10</v>
      </c>
    </row>
    <row r="6">
      <c r="A6" s="2" t="inlineStr">
        <is>
          <t>Closed</t>
        </is>
      </c>
      <c r="B6" s="2" t="n">
        <v>2</v>
      </c>
      <c r="C6" s="2">
        <f>2/32*100</f>
        <v/>
      </c>
      <c r="D6" s="2" t="n">
        <v>11</v>
      </c>
    </row>
    <row r="7">
      <c r="A7" s="3" t="inlineStr">
        <is>
          <t>Reopened</t>
        </is>
      </c>
      <c r="B7" s="3" t="n">
        <v>0</v>
      </c>
      <c r="C7" s="3" t="n">
        <v>0</v>
      </c>
      <c r="D7" s="3" t="n">
        <v>12</v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Component</t>
        </is>
      </c>
      <c r="B1" s="1" t="inlineStr">
        <is>
          <t>Defect Count</t>
        </is>
      </c>
      <c r="C1" s="1" t="inlineStr">
        <is>
          <t>Critical</t>
        </is>
      </c>
      <c r="D1" s="1" t="inlineStr">
        <is>
          <t>Major</t>
        </is>
      </c>
      <c r="E1" s="1" t="inlineStr">
        <is>
          <t>Minor</t>
        </is>
      </c>
      <c r="F1" s="1" t="inlineStr">
        <is>
          <t>Pass Rate %</t>
        </is>
      </c>
    </row>
    <row r="2">
      <c r="A2" s="2" t="inlineStr">
        <is>
          <t>Product Catalog</t>
        </is>
      </c>
      <c r="B2" s="2" t="n">
        <v>3</v>
      </c>
      <c r="C2" s="2" t="n">
        <v>0</v>
      </c>
      <c r="D2" s="2" t="n">
        <v>1</v>
      </c>
      <c r="E2" s="2" t="n">
        <v>2</v>
      </c>
      <c r="F2" s="2" t="n">
        <v>90</v>
      </c>
    </row>
    <row r="3">
      <c r="A3" s="3" t="inlineStr">
        <is>
          <t>Shopping Cart</t>
        </is>
      </c>
      <c r="B3" s="3" t="n">
        <v>4</v>
      </c>
      <c r="C3" s="3" t="n">
        <v>1</v>
      </c>
      <c r="D3" s="3" t="n">
        <v>2</v>
      </c>
      <c r="E3" s="3" t="n">
        <v>1</v>
      </c>
      <c r="F3" s="3" t="n">
        <v>91</v>
      </c>
    </row>
    <row r="4">
      <c r="A4" s="2" t="inlineStr">
        <is>
          <t>Checkout</t>
        </is>
      </c>
      <c r="B4" s="2" t="n">
        <v>5</v>
      </c>
      <c r="C4" s="2" t="n">
        <v>0</v>
      </c>
      <c r="D4" s="2" t="n">
        <v>1</v>
      </c>
      <c r="E4" s="2" t="n">
        <v>4</v>
      </c>
      <c r="F4" s="2" t="n">
        <v>92</v>
      </c>
    </row>
    <row r="5">
      <c r="A5" s="3" t="inlineStr">
        <is>
          <t>Payment</t>
        </is>
      </c>
      <c r="B5" s="3" t="n">
        <v>6</v>
      </c>
      <c r="C5" s="3" t="n">
        <v>1</v>
      </c>
      <c r="D5" s="3" t="n">
        <v>2</v>
      </c>
      <c r="E5" s="3" t="n">
        <v>3</v>
      </c>
      <c r="F5" s="3" t="n">
        <v>93</v>
      </c>
    </row>
    <row r="6">
      <c r="A6" s="2" t="inlineStr">
        <is>
          <t>User Management</t>
        </is>
      </c>
      <c r="B6" s="2" t="n">
        <v>3</v>
      </c>
      <c r="C6" s="2" t="n">
        <v>0</v>
      </c>
      <c r="D6" s="2" t="n">
        <v>1</v>
      </c>
      <c r="E6" s="2" t="n">
        <v>2</v>
      </c>
      <c r="F6" s="2" t="n">
        <v>94</v>
      </c>
    </row>
    <row r="7">
      <c r="A7" s="3" t="inlineStr">
        <is>
          <t>Orders</t>
        </is>
      </c>
      <c r="B7" s="3" t="n">
        <v>4</v>
      </c>
      <c r="C7" s="3" t="n">
        <v>1</v>
      </c>
      <c r="D7" s="3" t="n">
        <v>2</v>
      </c>
      <c r="E7" s="3" t="n">
        <v>1</v>
      </c>
      <c r="F7" s="3" t="n">
        <v>90</v>
      </c>
    </row>
    <row r="8">
      <c r="A8" s="2" t="inlineStr">
        <is>
          <t>Customers</t>
        </is>
      </c>
      <c r="B8" s="2" t="n">
        <v>5</v>
      </c>
      <c r="C8" s="2" t="n">
        <v>0</v>
      </c>
      <c r="D8" s="2" t="n">
        <v>1</v>
      </c>
      <c r="E8" s="2" t="n">
        <v>4</v>
      </c>
      <c r="F8" s="2" t="n">
        <v>91</v>
      </c>
    </row>
    <row r="9">
      <c r="A9" s="3" t="inlineStr">
        <is>
          <t>Inventory</t>
        </is>
      </c>
      <c r="B9" s="3" t="n">
        <v>6</v>
      </c>
      <c r="C9" s="3" t="n">
        <v>1</v>
      </c>
      <c r="D9" s="3" t="n">
        <v>2</v>
      </c>
      <c r="E9" s="3" t="n">
        <v>3</v>
      </c>
      <c r="F9" s="3" t="n">
        <v>92</v>
      </c>
    </row>
    <row r="10">
      <c r="A10" s="2" t="inlineStr">
        <is>
          <t>Search</t>
        </is>
      </c>
      <c r="B10" s="2" t="n">
        <v>3</v>
      </c>
      <c r="C10" s="2" t="n">
        <v>0</v>
      </c>
      <c r="D10" s="2" t="n">
        <v>1</v>
      </c>
      <c r="E10" s="2" t="n">
        <v>2</v>
      </c>
      <c r="F10" s="2" t="n">
        <v>93</v>
      </c>
    </row>
    <row r="11">
      <c r="A11" s="3" t="inlineStr">
        <is>
          <t>Reviews</t>
        </is>
      </c>
      <c r="B11" s="3" t="n">
        <v>4</v>
      </c>
      <c r="C11" s="3" t="n">
        <v>1</v>
      </c>
      <c r="D11" s="3" t="n">
        <v>2</v>
      </c>
      <c r="E11" s="3" t="n">
        <v>1</v>
      </c>
      <c r="F11" s="3" t="n">
        <v>94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2026-04-06T12:15:02Z</dcterms:modified>
</cp:coreProperties>
</file>