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>
    <definedName name="_xlnm._FilterDatabase" localSheetId="0" hidden="1">'Metrics'!$A$1:$E$1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Metric 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Target</t>
        </is>
      </c>
      <c r="E1" s="1" t="inlineStr">
        <is>
          <t>Status</t>
        </is>
      </c>
    </row>
    <row r="2">
      <c r="A2" s="2" t="inlineStr">
        <is>
          <t>Total Test Cases</t>
        </is>
      </c>
      <c r="B2" s="2" t="n">
        <v>356</v>
      </c>
      <c r="C2" s="2" t="inlineStr">
        <is>
          <t>Count</t>
        </is>
      </c>
      <c r="D2" s="2" t="n">
        <v>356</v>
      </c>
      <c r="E2" s="2">
        <f>IF(B2=D2,"Met","Below")</f>
        <v/>
      </c>
    </row>
    <row r="3">
      <c r="A3" s="3" t="inlineStr">
        <is>
          <t>Test Execution Rate</t>
        </is>
      </c>
      <c r="B3" s="3">
        <f>B2*1.0</f>
        <v/>
      </c>
      <c r="C3" s="3" t="inlineStr">
        <is>
          <t>%</t>
        </is>
      </c>
      <c r="D3" s="3" t="n">
        <v>100</v>
      </c>
      <c r="E3" s="3">
        <f>IF(B3&lt;=D3,"Good","Poor")</f>
        <v/>
      </c>
    </row>
    <row r="4">
      <c r="A4" s="2" t="inlineStr">
        <is>
          <t>Defect Rate</t>
        </is>
      </c>
      <c r="B4" s="2" t="n">
        <v>32</v>
      </c>
      <c r="C4" s="2" t="inlineStr">
        <is>
          <t>Per 100 TCs</t>
        </is>
      </c>
      <c r="D4" s="2" t="n">
        <v>10</v>
      </c>
      <c r="E4" s="2">
        <f>IF(B4&lt;=D4,"Acceptable","High")</f>
        <v/>
      </c>
    </row>
    <row r="5">
      <c r="A5" s="3" t="inlineStr">
        <is>
          <t>Coverage %</t>
        </is>
      </c>
      <c r="B5" s="3" t="n">
        <v>98</v>
      </c>
      <c r="C5" s="3" t="inlineStr">
        <is>
          <t>%</t>
        </is>
      </c>
      <c r="D5" s="3" t="n">
        <v>95</v>
      </c>
      <c r="E5" s="3">
        <f>IF(B5&gt;=D5,"Excellent","Good")</f>
        <v/>
      </c>
    </row>
    <row r="6">
      <c r="A6" s="2" t="inlineStr">
        <is>
          <t>Defect Density</t>
        </is>
      </c>
      <c r="B6" s="2" t="n">
        <v>0.09</v>
      </c>
      <c r="C6" s="2" t="inlineStr">
        <is>
          <t>Per 100 LOC</t>
        </is>
      </c>
      <c r="D6" s="2" t="n">
        <v>0.15</v>
      </c>
      <c r="E6" s="2">
        <f>IF(B6&lt;=D6,"Good","High")</f>
        <v/>
      </c>
    </row>
    <row r="7">
      <c r="A7" s="3" t="inlineStr">
        <is>
          <t>Defect Removal Efficiency</t>
        </is>
      </c>
      <c r="B7" s="3" t="n">
        <v>87.5</v>
      </c>
      <c r="C7" s="3" t="inlineStr">
        <is>
          <t>%</t>
        </is>
      </c>
      <c r="D7" s="3" t="n">
        <v>85</v>
      </c>
      <c r="E7" s="3">
        <f>IF(B7&gt;=D7,"Excellent","Good")</f>
        <v/>
      </c>
    </row>
    <row r="8">
      <c r="A8" s="2" t="inlineStr">
        <is>
          <t>Test Pass Rate</t>
        </is>
      </c>
      <c r="B8" s="2" t="n">
        <v>92</v>
      </c>
      <c r="C8" s="2" t="inlineStr">
        <is>
          <t>%</t>
        </is>
      </c>
      <c r="D8" s="2" t="n">
        <v>90</v>
      </c>
      <c r="E8" s="2">
        <f>IF(B8&gt;=D8,"Excellent","Good")</f>
        <v/>
      </c>
    </row>
    <row r="9">
      <c r="A9" s="3" t="inlineStr">
        <is>
          <t>Cycle Time</t>
        </is>
      </c>
      <c r="B9" s="3" t="n">
        <v>21</v>
      </c>
      <c r="C9" s="3" t="inlineStr">
        <is>
          <t>Days</t>
        </is>
      </c>
      <c r="D9" s="3" t="n">
        <v>25</v>
      </c>
      <c r="E9" s="3">
        <f>IF(B9&lt;=D9,"On Schedule","Delayed")</f>
        <v/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