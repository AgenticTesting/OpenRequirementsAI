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omalie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'Anomalies'!$A$1:$M$1</definedName>
    <definedName name="_xlnm._FilterDatabase" localSheetId="1" hidden="1">'Summary'!$A$1:$B$1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F2F7FB"/>
        <bgColor rgb="00F2F7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27" customWidth="1" min="10" max="10"/>
    <col width="50" customWidth="1" min="11" max="11"/>
    <col width="27" customWidth="1" min="12" max="12"/>
    <col width="37" customWidth="1" min="13" max="13"/>
  </cols>
  <sheetData>
    <row r="1">
      <c r="A1" s="1" t="inlineStr">
        <is>
          <t>Anomaly ID</t>
        </is>
      </c>
      <c r="B1" s="1" t="inlineStr">
        <is>
          <t>Title</t>
        </is>
      </c>
      <c r="C1" s="1" t="inlineStr">
        <is>
          <t>Severity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Assigned To</t>
        </is>
      </c>
      <c r="G1" s="1" t="inlineStr">
        <is>
          <t>Found In</t>
        </is>
      </c>
      <c r="H1" s="1" t="inlineStr">
        <is>
          <t>Fixed In</t>
        </is>
      </c>
      <c r="I1" s="1" t="inlineStr">
        <is>
          <t>Due Date</t>
        </is>
      </c>
      <c r="J1" s="1" t="inlineStr">
        <is>
          <t>Description</t>
        </is>
      </c>
      <c r="K1" s="1" t="inlineStr">
        <is>
          <t>Steps to Reproduce</t>
        </is>
      </c>
      <c r="L1" s="1" t="inlineStr">
        <is>
          <t>Expected Result</t>
        </is>
      </c>
      <c r="M1" s="1" t="inlineStr">
        <is>
          <t>Actual Result</t>
        </is>
      </c>
    </row>
    <row r="2">
      <c r="A2" s="2" t="inlineStr">
        <is>
          <t>ANM001</t>
        </is>
      </c>
      <c r="B2" s="2" t="inlineStr">
        <is>
          <t>Defect 1: Shopping Cart issue</t>
        </is>
      </c>
      <c r="C2" s="2" t="inlineStr">
        <is>
          <t>Major</t>
        </is>
      </c>
      <c r="D2" s="2" t="inlineStr">
        <is>
          <t>P2</t>
        </is>
      </c>
      <c r="E2" s="2" t="inlineStr">
        <is>
          <t>Open</t>
        </is>
      </c>
      <c r="F2" s="2" t="inlineStr">
        <is>
          <t>Developer2</t>
        </is>
      </c>
      <c r="G2" s="2" t="inlineStr">
        <is>
          <t>v1.1</t>
        </is>
      </c>
      <c r="H2" s="2" t="inlineStr">
        <is>
          <t>TBD</t>
        </is>
      </c>
      <c r="I2" s="2" t="inlineStr">
        <is>
          <t>2026-04-14</t>
        </is>
      </c>
      <c r="J2" s="2" t="inlineStr">
        <is>
          <t>Description of anomaly 1</t>
        </is>
      </c>
      <c r="K2" s="2" t="inlineStr">
        <is>
          <t>1. Reproduce step 1
2. Reproduce step 2
3. Observe issue</t>
        </is>
      </c>
      <c r="L2" s="2" t="inlineStr">
        <is>
          <t>Expected: Normal behavior</t>
        </is>
      </c>
      <c r="M2" s="2" t="inlineStr">
        <is>
          <t>Actual: Incorrect behavior observed</t>
        </is>
      </c>
    </row>
    <row r="3">
      <c r="A3" s="3" t="inlineStr">
        <is>
          <t>ANM002</t>
        </is>
      </c>
      <c r="B3" s="3" t="inlineStr">
        <is>
          <t>Defect 2: Checkout issue</t>
        </is>
      </c>
      <c r="C3" s="3" t="inlineStr">
        <is>
          <t>Minor</t>
        </is>
      </c>
      <c r="D3" s="3" t="inlineStr">
        <is>
          <t>P3</t>
        </is>
      </c>
      <c r="E3" s="3" t="inlineStr">
        <is>
          <t>In Progress</t>
        </is>
      </c>
      <c r="F3" s="3" t="inlineStr">
        <is>
          <t>Developer3</t>
        </is>
      </c>
      <c r="G3" s="3" t="inlineStr">
        <is>
          <t>v1.2</t>
        </is>
      </c>
      <c r="H3" s="3" t="inlineStr">
        <is>
          <t>TBD</t>
        </is>
      </c>
      <c r="I3" s="3" t="inlineStr">
        <is>
          <t>2026-04-15</t>
        </is>
      </c>
      <c r="J3" s="3" t="inlineStr">
        <is>
          <t>Description of anomaly 2</t>
        </is>
      </c>
      <c r="K3" s="3" t="inlineStr">
        <is>
          <t>1. Reproduce step 1
2. Reproduce step 2
3. Observe issue</t>
        </is>
      </c>
      <c r="L3" s="3" t="inlineStr">
        <is>
          <t>Expected: Normal behavior</t>
        </is>
      </c>
      <c r="M3" s="3" t="inlineStr">
        <is>
          <t>Actual: Incorrect behavior observed</t>
        </is>
      </c>
    </row>
    <row r="4">
      <c r="A4" s="2" t="inlineStr">
        <is>
          <t>ANM003</t>
        </is>
      </c>
      <c r="B4" s="2" t="inlineStr">
        <is>
          <t>Defect 3: Payment issue</t>
        </is>
      </c>
      <c r="C4" s="2" t="inlineStr">
        <is>
          <t>Trivial</t>
        </is>
      </c>
      <c r="D4" s="2" t="inlineStr">
        <is>
          <t>P4</t>
        </is>
      </c>
      <c r="E4" s="2" t="inlineStr">
        <is>
          <t>Fixed</t>
        </is>
      </c>
      <c r="F4" s="2" t="inlineStr">
        <is>
          <t>Developer1</t>
        </is>
      </c>
      <c r="G4" s="2" t="inlineStr">
        <is>
          <t>v1.3</t>
        </is>
      </c>
      <c r="H4" s="2" t="inlineStr">
        <is>
          <t>v1.4</t>
        </is>
      </c>
      <c r="I4" s="2" t="inlineStr">
        <is>
          <t>2026-04-16</t>
        </is>
      </c>
      <c r="J4" s="2" t="inlineStr">
        <is>
          <t>Description of anomaly 3</t>
        </is>
      </c>
      <c r="K4" s="2" t="inlineStr">
        <is>
          <t>1. Reproduce step 1
2. Reproduce step 2
3. Observe issue</t>
        </is>
      </c>
      <c r="L4" s="2" t="inlineStr">
        <is>
          <t>Expected: Normal behavior</t>
        </is>
      </c>
      <c r="M4" s="2" t="inlineStr">
        <is>
          <t>Actual: Incorrect behavior observed</t>
        </is>
      </c>
    </row>
    <row r="5">
      <c r="A5" s="3" t="inlineStr">
        <is>
          <t>ANM004</t>
        </is>
      </c>
      <c r="B5" s="3" t="inlineStr">
        <is>
          <t>Defect 4: User Management issue</t>
        </is>
      </c>
      <c r="C5" s="3" t="inlineStr">
        <is>
          <t>Critical</t>
        </is>
      </c>
      <c r="D5" s="3" t="inlineStr">
        <is>
          <t>P1</t>
        </is>
      </c>
      <c r="E5" s="3" t="inlineStr">
        <is>
          <t>Closed</t>
        </is>
      </c>
      <c r="F5" s="3" t="inlineStr">
        <is>
          <t>Developer2</t>
        </is>
      </c>
      <c r="G5" s="3" t="inlineStr">
        <is>
          <t>v1.4</t>
        </is>
      </c>
      <c r="H5" s="3" t="inlineStr">
        <is>
          <t>TBD</t>
        </is>
      </c>
      <c r="I5" s="3" t="inlineStr">
        <is>
          <t>2026-04-17</t>
        </is>
      </c>
      <c r="J5" s="3" t="inlineStr">
        <is>
          <t>Description of anomaly 4</t>
        </is>
      </c>
      <c r="K5" s="3" t="inlineStr">
        <is>
          <t>1. Reproduce step 1
2. Reproduce step 2
3. Observe issue</t>
        </is>
      </c>
      <c r="L5" s="3" t="inlineStr">
        <is>
          <t>Expected: Normal behavior</t>
        </is>
      </c>
      <c r="M5" s="3" t="inlineStr">
        <is>
          <t>Actual: Incorrect behavior observed</t>
        </is>
      </c>
    </row>
    <row r="6">
      <c r="A6" s="2" t="inlineStr">
        <is>
          <t>ANM005</t>
        </is>
      </c>
      <c r="B6" s="2" t="inlineStr">
        <is>
          <t>Defect 5: Orders issue</t>
        </is>
      </c>
      <c r="C6" s="2" t="inlineStr">
        <is>
          <t>Major</t>
        </is>
      </c>
      <c r="D6" s="2" t="inlineStr">
        <is>
          <t>P2</t>
        </is>
      </c>
      <c r="E6" s="2" t="inlineStr">
        <is>
          <t>Reopened</t>
        </is>
      </c>
      <c r="F6" s="2" t="inlineStr">
        <is>
          <t>Developer3</t>
        </is>
      </c>
      <c r="G6" s="2" t="inlineStr">
        <is>
          <t>v1.0</t>
        </is>
      </c>
      <c r="H6" s="2" t="inlineStr">
        <is>
          <t>TBD</t>
        </is>
      </c>
      <c r="I6" s="2" t="inlineStr">
        <is>
          <t>2026-04-18</t>
        </is>
      </c>
      <c r="J6" s="2" t="inlineStr">
        <is>
          <t>Description of anomaly 5</t>
        </is>
      </c>
      <c r="K6" s="2" t="inlineStr">
        <is>
          <t>1. Reproduce step 1
2. Reproduce step 2
3. Observe issue</t>
        </is>
      </c>
      <c r="L6" s="2" t="inlineStr">
        <is>
          <t>Expected: Normal behavior</t>
        </is>
      </c>
      <c r="M6" s="2" t="inlineStr">
        <is>
          <t>Actual: Incorrect behavior observed</t>
        </is>
      </c>
    </row>
    <row r="7">
      <c r="A7" s="3" t="inlineStr">
        <is>
          <t>ANM006</t>
        </is>
      </c>
      <c r="B7" s="3" t="inlineStr">
        <is>
          <t>Defect 6: Customers issue</t>
        </is>
      </c>
      <c r="C7" s="3" t="inlineStr">
        <is>
          <t>Minor</t>
        </is>
      </c>
      <c r="D7" s="3" t="inlineStr">
        <is>
          <t>P3</t>
        </is>
      </c>
      <c r="E7" s="3" t="inlineStr">
        <is>
          <t>New</t>
        </is>
      </c>
      <c r="F7" s="3" t="inlineStr">
        <is>
          <t>Developer1</t>
        </is>
      </c>
      <c r="G7" s="3" t="inlineStr">
        <is>
          <t>v1.1</t>
        </is>
      </c>
      <c r="H7" s="3" t="inlineStr">
        <is>
          <t>v1.2</t>
        </is>
      </c>
      <c r="I7" s="3" t="inlineStr">
        <is>
          <t>2026-04-19</t>
        </is>
      </c>
      <c r="J7" s="3" t="inlineStr">
        <is>
          <t>Description of anomaly 6</t>
        </is>
      </c>
      <c r="K7" s="3" t="inlineStr">
        <is>
          <t>1. Reproduce step 1
2. Reproduce step 2
3. Observe issue</t>
        </is>
      </c>
      <c r="L7" s="3" t="inlineStr">
        <is>
          <t>Expected: Normal behavior</t>
        </is>
      </c>
      <c r="M7" s="3" t="inlineStr">
        <is>
          <t>Actual: Incorrect behavior observed</t>
        </is>
      </c>
    </row>
    <row r="8">
      <c r="A8" s="2" t="inlineStr">
        <is>
          <t>ANM007</t>
        </is>
      </c>
      <c r="B8" s="2" t="inlineStr">
        <is>
          <t>Defect 7: Inventory issue</t>
        </is>
      </c>
      <c r="C8" s="2" t="inlineStr">
        <is>
          <t>Trivial</t>
        </is>
      </c>
      <c r="D8" s="2" t="inlineStr">
        <is>
          <t>P4</t>
        </is>
      </c>
      <c r="E8" s="2" t="inlineStr">
        <is>
          <t>Open</t>
        </is>
      </c>
      <c r="F8" s="2" t="inlineStr">
        <is>
          <t>Developer2</t>
        </is>
      </c>
      <c r="G8" s="2" t="inlineStr">
        <is>
          <t>v1.2</t>
        </is>
      </c>
      <c r="H8" s="2" t="inlineStr">
        <is>
          <t>TBD</t>
        </is>
      </c>
      <c r="I8" s="2" t="inlineStr">
        <is>
          <t>2026-04-20</t>
        </is>
      </c>
      <c r="J8" s="2" t="inlineStr">
        <is>
          <t>Description of anomaly 7</t>
        </is>
      </c>
      <c r="K8" s="2" t="inlineStr">
        <is>
          <t>1. Reproduce step 1
2. Reproduce step 2
3. Observe issue</t>
        </is>
      </c>
      <c r="L8" s="2" t="inlineStr">
        <is>
          <t>Expected: Normal behavior</t>
        </is>
      </c>
      <c r="M8" s="2" t="inlineStr">
        <is>
          <t>Actual: Incorrect behavior observed</t>
        </is>
      </c>
    </row>
    <row r="9">
      <c r="A9" s="3" t="inlineStr">
        <is>
          <t>ANM008</t>
        </is>
      </c>
      <c r="B9" s="3" t="inlineStr">
        <is>
          <t>Defect 8: Search issue</t>
        </is>
      </c>
      <c r="C9" s="3" t="inlineStr">
        <is>
          <t>Critical</t>
        </is>
      </c>
      <c r="D9" s="3" t="inlineStr">
        <is>
          <t>P1</t>
        </is>
      </c>
      <c r="E9" s="3" t="inlineStr">
        <is>
          <t>In Progress</t>
        </is>
      </c>
      <c r="F9" s="3" t="inlineStr">
        <is>
          <t>Developer3</t>
        </is>
      </c>
      <c r="G9" s="3" t="inlineStr">
        <is>
          <t>v1.3</t>
        </is>
      </c>
      <c r="H9" s="3" t="inlineStr">
        <is>
          <t>TBD</t>
        </is>
      </c>
      <c r="I9" s="3" t="inlineStr">
        <is>
          <t>2026-04-21</t>
        </is>
      </c>
      <c r="J9" s="3" t="inlineStr">
        <is>
          <t>Description of anomaly 8</t>
        </is>
      </c>
      <c r="K9" s="3" t="inlineStr">
        <is>
          <t>1. Reproduce step 1
2. Reproduce step 2
3. Observe issue</t>
        </is>
      </c>
      <c r="L9" s="3" t="inlineStr">
        <is>
          <t>Expected: Normal behavior</t>
        </is>
      </c>
      <c r="M9" s="3" t="inlineStr">
        <is>
          <t>Actual: Incorrect behavior observed</t>
        </is>
      </c>
    </row>
    <row r="10">
      <c r="A10" s="2" t="inlineStr">
        <is>
          <t>ANM009</t>
        </is>
      </c>
      <c r="B10" s="2" t="inlineStr">
        <is>
          <t>Defect 9: Reviews issue</t>
        </is>
      </c>
      <c r="C10" s="2" t="inlineStr">
        <is>
          <t>Major</t>
        </is>
      </c>
      <c r="D10" s="2" t="inlineStr">
        <is>
          <t>P2</t>
        </is>
      </c>
      <c r="E10" s="2" t="inlineStr">
        <is>
          <t>Fixed</t>
        </is>
      </c>
      <c r="F10" s="2" t="inlineStr">
        <is>
          <t>Developer1</t>
        </is>
      </c>
      <c r="G10" s="2" t="inlineStr">
        <is>
          <t>v1.4</t>
        </is>
      </c>
      <c r="H10" s="2" t="inlineStr">
        <is>
          <t>v1.5</t>
        </is>
      </c>
      <c r="I10" s="2" t="inlineStr">
        <is>
          <t>2026-04-22</t>
        </is>
      </c>
      <c r="J10" s="2" t="inlineStr">
        <is>
          <t>Description of anomaly 9</t>
        </is>
      </c>
      <c r="K10" s="2" t="inlineStr">
        <is>
          <t>1. Reproduce step 1
2. Reproduce step 2
3. Observe issue</t>
        </is>
      </c>
      <c r="L10" s="2" t="inlineStr">
        <is>
          <t>Expected: Normal behavior</t>
        </is>
      </c>
      <c r="M10" s="2" t="inlineStr">
        <is>
          <t>Actual: Incorrect behavior observed</t>
        </is>
      </c>
    </row>
    <row r="11">
      <c r="A11" s="3" t="inlineStr">
        <is>
          <t>ANM010</t>
        </is>
      </c>
      <c r="B11" s="3" t="inlineStr">
        <is>
          <t>Defect 10: Product Catalog issue</t>
        </is>
      </c>
      <c r="C11" s="3" t="inlineStr">
        <is>
          <t>Minor</t>
        </is>
      </c>
      <c r="D11" s="3" t="inlineStr">
        <is>
          <t>P3</t>
        </is>
      </c>
      <c r="E11" s="3" t="inlineStr">
        <is>
          <t>Closed</t>
        </is>
      </c>
      <c r="F11" s="3" t="inlineStr">
        <is>
          <t>Developer2</t>
        </is>
      </c>
      <c r="G11" s="3" t="inlineStr">
        <is>
          <t>v1.0</t>
        </is>
      </c>
      <c r="H11" s="3" t="inlineStr">
        <is>
          <t>TBD</t>
        </is>
      </c>
      <c r="I11" s="3" t="inlineStr">
        <is>
          <t>2026-04-23</t>
        </is>
      </c>
      <c r="J11" s="3" t="inlineStr">
        <is>
          <t>Description of anomaly 10</t>
        </is>
      </c>
      <c r="K11" s="3" t="inlineStr">
        <is>
          <t>1. Reproduce step 1
2. Reproduce step 2
3. Observe issue</t>
        </is>
      </c>
      <c r="L11" s="3" t="inlineStr">
        <is>
          <t>Expected: Normal behavior</t>
        </is>
      </c>
      <c r="M11" s="3" t="inlineStr">
        <is>
          <t>Actual: Incorrect behavior observed</t>
        </is>
      </c>
    </row>
    <row r="12">
      <c r="A12" s="2" t="inlineStr">
        <is>
          <t>ANM011</t>
        </is>
      </c>
      <c r="B12" s="2" t="inlineStr">
        <is>
          <t>Defect 11: Shopping Cart issue</t>
        </is>
      </c>
      <c r="C12" s="2" t="inlineStr">
        <is>
          <t>Trivial</t>
        </is>
      </c>
      <c r="D12" s="2" t="inlineStr">
        <is>
          <t>P4</t>
        </is>
      </c>
      <c r="E12" s="2" t="inlineStr">
        <is>
          <t>Reopened</t>
        </is>
      </c>
      <c r="F12" s="2" t="inlineStr">
        <is>
          <t>Developer3</t>
        </is>
      </c>
      <c r="G12" s="2" t="inlineStr">
        <is>
          <t>v1.1</t>
        </is>
      </c>
      <c r="H12" s="2" t="inlineStr">
        <is>
          <t>TBD</t>
        </is>
      </c>
      <c r="I12" s="2" t="inlineStr">
        <is>
          <t>2026-04-24</t>
        </is>
      </c>
      <c r="J12" s="2" t="inlineStr">
        <is>
          <t>Description of anomaly 11</t>
        </is>
      </c>
      <c r="K12" s="2" t="inlineStr">
        <is>
          <t>1. Reproduce step 1
2. Reproduce step 2
3. Observe issue</t>
        </is>
      </c>
      <c r="L12" s="2" t="inlineStr">
        <is>
          <t>Expected: Normal behavior</t>
        </is>
      </c>
      <c r="M12" s="2" t="inlineStr">
        <is>
          <t>Actual: Incorrect behavior observed</t>
        </is>
      </c>
    </row>
    <row r="13">
      <c r="A13" s="3" t="inlineStr">
        <is>
          <t>ANM012</t>
        </is>
      </c>
      <c r="B13" s="3" t="inlineStr">
        <is>
          <t>Defect 12: Checkout issue</t>
        </is>
      </c>
      <c r="C13" s="3" t="inlineStr">
        <is>
          <t>Critical</t>
        </is>
      </c>
      <c r="D13" s="3" t="inlineStr">
        <is>
          <t>P1</t>
        </is>
      </c>
      <c r="E13" s="3" t="inlineStr">
        <is>
          <t>New</t>
        </is>
      </c>
      <c r="F13" s="3" t="inlineStr">
        <is>
          <t>Developer1</t>
        </is>
      </c>
      <c r="G13" s="3" t="inlineStr">
        <is>
          <t>v1.2</t>
        </is>
      </c>
      <c r="H13" s="3" t="inlineStr">
        <is>
          <t>v1.3</t>
        </is>
      </c>
      <c r="I13" s="3" t="inlineStr">
        <is>
          <t>2026-04-25</t>
        </is>
      </c>
      <c r="J13" s="3" t="inlineStr">
        <is>
          <t>Description of anomaly 12</t>
        </is>
      </c>
      <c r="K13" s="3" t="inlineStr">
        <is>
          <t>1. Reproduce step 1
2. Reproduce step 2
3. Observe issue</t>
        </is>
      </c>
      <c r="L13" s="3" t="inlineStr">
        <is>
          <t>Expected: Normal behavior</t>
        </is>
      </c>
      <c r="M13" s="3" t="inlineStr">
        <is>
          <t>Actual: Incorrect behavior observed</t>
        </is>
      </c>
    </row>
    <row r="14">
      <c r="A14" s="2" t="inlineStr">
        <is>
          <t>ANM013</t>
        </is>
      </c>
      <c r="B14" s="2" t="inlineStr">
        <is>
          <t>Defect 13: Payment issue</t>
        </is>
      </c>
      <c r="C14" s="2" t="inlineStr">
        <is>
          <t>Major</t>
        </is>
      </c>
      <c r="D14" s="2" t="inlineStr">
        <is>
          <t>P2</t>
        </is>
      </c>
      <c r="E14" s="2" t="inlineStr">
        <is>
          <t>Open</t>
        </is>
      </c>
      <c r="F14" s="2" t="inlineStr">
        <is>
          <t>Developer2</t>
        </is>
      </c>
      <c r="G14" s="2" t="inlineStr">
        <is>
          <t>v1.3</t>
        </is>
      </c>
      <c r="H14" s="2" t="inlineStr">
        <is>
          <t>TBD</t>
        </is>
      </c>
      <c r="I14" s="2" t="inlineStr">
        <is>
          <t>2026-04-26</t>
        </is>
      </c>
      <c r="J14" s="2" t="inlineStr">
        <is>
          <t>Description of anomaly 13</t>
        </is>
      </c>
      <c r="K14" s="2" t="inlineStr">
        <is>
          <t>1. Reproduce step 1
2. Reproduce step 2
3. Observe issue</t>
        </is>
      </c>
      <c r="L14" s="2" t="inlineStr">
        <is>
          <t>Expected: Normal behavior</t>
        </is>
      </c>
      <c r="M14" s="2" t="inlineStr">
        <is>
          <t>Actual: Incorrect behavior observed</t>
        </is>
      </c>
    </row>
    <row r="15">
      <c r="A15" s="3" t="inlineStr">
        <is>
          <t>ANM014</t>
        </is>
      </c>
      <c r="B15" s="3" t="inlineStr">
        <is>
          <t>Defect 14: User Management issue</t>
        </is>
      </c>
      <c r="C15" s="3" t="inlineStr">
        <is>
          <t>Minor</t>
        </is>
      </c>
      <c r="D15" s="3" t="inlineStr">
        <is>
          <t>P3</t>
        </is>
      </c>
      <c r="E15" s="3" t="inlineStr">
        <is>
          <t>In Progress</t>
        </is>
      </c>
      <c r="F15" s="3" t="inlineStr">
        <is>
          <t>Developer3</t>
        </is>
      </c>
      <c r="G15" s="3" t="inlineStr">
        <is>
          <t>v1.4</t>
        </is>
      </c>
      <c r="H15" s="3" t="inlineStr">
        <is>
          <t>TBD</t>
        </is>
      </c>
      <c r="I15" s="3" t="inlineStr">
        <is>
          <t>2026-04-27</t>
        </is>
      </c>
      <c r="J15" s="3" t="inlineStr">
        <is>
          <t>Description of anomaly 14</t>
        </is>
      </c>
      <c r="K15" s="3" t="inlineStr">
        <is>
          <t>1. Reproduce step 1
2. Reproduce step 2
3. Observe issue</t>
        </is>
      </c>
      <c r="L15" s="3" t="inlineStr">
        <is>
          <t>Expected: Normal behavior</t>
        </is>
      </c>
      <c r="M15" s="3" t="inlineStr">
        <is>
          <t>Actual: Incorrect behavior observed</t>
        </is>
      </c>
    </row>
    <row r="16">
      <c r="A16" s="2" t="inlineStr">
        <is>
          <t>ANM015</t>
        </is>
      </c>
      <c r="B16" s="2" t="inlineStr">
        <is>
          <t>Defect 15: Orders issue</t>
        </is>
      </c>
      <c r="C16" s="2" t="inlineStr">
        <is>
          <t>Trivial</t>
        </is>
      </c>
      <c r="D16" s="2" t="inlineStr">
        <is>
          <t>P4</t>
        </is>
      </c>
      <c r="E16" s="2" t="inlineStr">
        <is>
          <t>Fixed</t>
        </is>
      </c>
      <c r="F16" s="2" t="inlineStr">
        <is>
          <t>Developer1</t>
        </is>
      </c>
      <c r="G16" s="2" t="inlineStr">
        <is>
          <t>v1.0</t>
        </is>
      </c>
      <c r="H16" s="2" t="inlineStr">
        <is>
          <t>v1.1</t>
        </is>
      </c>
      <c r="I16" s="2" t="inlineStr">
        <is>
          <t>2026-04-28</t>
        </is>
      </c>
      <c r="J16" s="2" t="inlineStr">
        <is>
          <t>Description of anomaly 15</t>
        </is>
      </c>
      <c r="K16" s="2" t="inlineStr">
        <is>
          <t>1. Reproduce step 1
2. Reproduce step 2
3. Observe issue</t>
        </is>
      </c>
      <c r="L16" s="2" t="inlineStr">
        <is>
          <t>Expected: Normal behavior</t>
        </is>
      </c>
      <c r="M16" s="2" t="inlineStr">
        <is>
          <t>Actual: Incorrect behavior observed</t>
        </is>
      </c>
    </row>
    <row r="17">
      <c r="A17" s="3" t="inlineStr">
        <is>
          <t>ANM016</t>
        </is>
      </c>
      <c r="B17" s="3" t="inlineStr">
        <is>
          <t>Defect 16: Customers issue</t>
        </is>
      </c>
      <c r="C17" s="3" t="inlineStr">
        <is>
          <t>Critical</t>
        </is>
      </c>
      <c r="D17" s="3" t="inlineStr">
        <is>
          <t>P1</t>
        </is>
      </c>
      <c r="E17" s="3" t="inlineStr">
        <is>
          <t>Closed</t>
        </is>
      </c>
      <c r="F17" s="3" t="inlineStr">
        <is>
          <t>Developer2</t>
        </is>
      </c>
      <c r="G17" s="3" t="inlineStr">
        <is>
          <t>v1.1</t>
        </is>
      </c>
      <c r="H17" s="3" t="inlineStr">
        <is>
          <t>TBD</t>
        </is>
      </c>
      <c r="I17" s="3" t="inlineStr">
        <is>
          <t>2026-04-29</t>
        </is>
      </c>
      <c r="J17" s="3" t="inlineStr">
        <is>
          <t>Description of anomaly 16</t>
        </is>
      </c>
      <c r="K17" s="3" t="inlineStr">
        <is>
          <t>1. Reproduce step 1
2. Reproduce step 2
3. Observe issue</t>
        </is>
      </c>
      <c r="L17" s="3" t="inlineStr">
        <is>
          <t>Expected: Normal behavior</t>
        </is>
      </c>
      <c r="M17" s="3" t="inlineStr">
        <is>
          <t>Actual: Incorrect behavior observed</t>
        </is>
      </c>
    </row>
    <row r="18">
      <c r="A18" s="2" t="inlineStr">
        <is>
          <t>ANM017</t>
        </is>
      </c>
      <c r="B18" s="2" t="inlineStr">
        <is>
          <t>Defect 17: Inventory issue</t>
        </is>
      </c>
      <c r="C18" s="2" t="inlineStr">
        <is>
          <t>Major</t>
        </is>
      </c>
      <c r="D18" s="2" t="inlineStr">
        <is>
          <t>P2</t>
        </is>
      </c>
      <c r="E18" s="2" t="inlineStr">
        <is>
          <t>Reopened</t>
        </is>
      </c>
      <c r="F18" s="2" t="inlineStr">
        <is>
          <t>Developer3</t>
        </is>
      </c>
      <c r="G18" s="2" t="inlineStr">
        <is>
          <t>v1.2</t>
        </is>
      </c>
      <c r="H18" s="2" t="inlineStr">
        <is>
          <t>TBD</t>
        </is>
      </c>
      <c r="I18" s="2" t="inlineStr">
        <is>
          <t>2026-04-30</t>
        </is>
      </c>
      <c r="J18" s="2" t="inlineStr">
        <is>
          <t>Description of anomaly 17</t>
        </is>
      </c>
      <c r="K18" s="2" t="inlineStr">
        <is>
          <t>1. Reproduce step 1
2. Reproduce step 2
3. Observe issue</t>
        </is>
      </c>
      <c r="L18" s="2" t="inlineStr">
        <is>
          <t>Expected: Normal behavior</t>
        </is>
      </c>
      <c r="M18" s="2" t="inlineStr">
        <is>
          <t>Actual: Incorrect behavior observed</t>
        </is>
      </c>
    </row>
    <row r="19">
      <c r="A19" s="3" t="inlineStr">
        <is>
          <t>ANM018</t>
        </is>
      </c>
      <c r="B19" s="3" t="inlineStr">
        <is>
          <t>Defect 18: Search issue</t>
        </is>
      </c>
      <c r="C19" s="3" t="inlineStr">
        <is>
          <t>Minor</t>
        </is>
      </c>
      <c r="D19" s="3" t="inlineStr">
        <is>
          <t>P3</t>
        </is>
      </c>
      <c r="E19" s="3" t="inlineStr">
        <is>
          <t>New</t>
        </is>
      </c>
      <c r="F19" s="3" t="inlineStr">
        <is>
          <t>Developer1</t>
        </is>
      </c>
      <c r="G19" s="3" t="inlineStr">
        <is>
          <t>v1.3</t>
        </is>
      </c>
      <c r="H19" s="3" t="inlineStr">
        <is>
          <t>v1.4</t>
        </is>
      </c>
      <c r="I19" s="3" t="inlineStr">
        <is>
          <t>2026-05-01</t>
        </is>
      </c>
      <c r="J19" s="3" t="inlineStr">
        <is>
          <t>Description of anomaly 18</t>
        </is>
      </c>
      <c r="K19" s="3" t="inlineStr">
        <is>
          <t>1. Reproduce step 1
2. Reproduce step 2
3. Observe issue</t>
        </is>
      </c>
      <c r="L19" s="3" t="inlineStr">
        <is>
          <t>Expected: Normal behavior</t>
        </is>
      </c>
      <c r="M19" s="3" t="inlineStr">
        <is>
          <t>Actual: Incorrect behavior observed</t>
        </is>
      </c>
    </row>
    <row r="20">
      <c r="A20" s="2" t="inlineStr">
        <is>
          <t>ANM019</t>
        </is>
      </c>
      <c r="B20" s="2" t="inlineStr">
        <is>
          <t>Defect 19: Reviews issue</t>
        </is>
      </c>
      <c r="C20" s="2" t="inlineStr">
        <is>
          <t>Trivial</t>
        </is>
      </c>
      <c r="D20" s="2" t="inlineStr">
        <is>
          <t>P4</t>
        </is>
      </c>
      <c r="E20" s="2" t="inlineStr">
        <is>
          <t>Open</t>
        </is>
      </c>
      <c r="F20" s="2" t="inlineStr">
        <is>
          <t>Developer2</t>
        </is>
      </c>
      <c r="G20" s="2" t="inlineStr">
        <is>
          <t>v1.4</t>
        </is>
      </c>
      <c r="H20" s="2" t="inlineStr">
        <is>
          <t>TBD</t>
        </is>
      </c>
      <c r="I20" s="2" t="inlineStr">
        <is>
          <t>2026-05-02</t>
        </is>
      </c>
      <c r="J20" s="2" t="inlineStr">
        <is>
          <t>Description of anomaly 19</t>
        </is>
      </c>
      <c r="K20" s="2" t="inlineStr">
        <is>
          <t>1. Reproduce step 1
2. Reproduce step 2
3. Observe issue</t>
        </is>
      </c>
      <c r="L20" s="2" t="inlineStr">
        <is>
          <t>Expected: Normal behavior</t>
        </is>
      </c>
      <c r="M20" s="2" t="inlineStr">
        <is>
          <t>Actual: Incorrect behavior observed</t>
        </is>
      </c>
    </row>
    <row r="21">
      <c r="A21" s="3" t="inlineStr">
        <is>
          <t>ANM020</t>
        </is>
      </c>
      <c r="B21" s="3" t="inlineStr">
        <is>
          <t>Defect 20: Product Catalog issue</t>
        </is>
      </c>
      <c r="C21" s="3" t="inlineStr">
        <is>
          <t>Critical</t>
        </is>
      </c>
      <c r="D21" s="3" t="inlineStr">
        <is>
          <t>P1</t>
        </is>
      </c>
      <c r="E21" s="3" t="inlineStr">
        <is>
          <t>In Progress</t>
        </is>
      </c>
      <c r="F21" s="3" t="inlineStr">
        <is>
          <t>Developer3</t>
        </is>
      </c>
      <c r="G21" s="3" t="inlineStr">
        <is>
          <t>v1.0</t>
        </is>
      </c>
      <c r="H21" s="3" t="inlineStr">
        <is>
          <t>TBD</t>
        </is>
      </c>
      <c r="I21" s="3" t="inlineStr">
        <is>
          <t>2026-05-03</t>
        </is>
      </c>
      <c r="J21" s="3" t="inlineStr">
        <is>
          <t>Description of anomaly 20</t>
        </is>
      </c>
      <c r="K21" s="3" t="inlineStr">
        <is>
          <t>1. Reproduce step 1
2. Reproduce step 2
3. Observe issue</t>
        </is>
      </c>
      <c r="L21" s="3" t="inlineStr">
        <is>
          <t>Expected: Normal behavior</t>
        </is>
      </c>
      <c r="M21" s="3" t="inlineStr">
        <is>
          <t>Actual: Incorrect behavior observed</t>
        </is>
      </c>
    </row>
  </sheetData>
  <autoFilter ref="A1:M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Count</t>
        </is>
      </c>
    </row>
    <row r="2">
      <c r="A2" s="4" t="inlineStr">
        <is>
          <t>Total Defects</t>
        </is>
      </c>
      <c r="B2" s="4">
        <f>COUNTA(Anomalies!A2:A21)</f>
        <v/>
      </c>
    </row>
    <row r="3">
      <c r="A3" s="5" t="inlineStr">
        <is>
          <t>Critical</t>
        </is>
      </c>
      <c r="B3" s="5">
        <f>COUNTIF(Anomalies!C2:C21,"Critical")</f>
        <v/>
      </c>
    </row>
    <row r="4">
      <c r="A4" s="4" t="inlineStr">
        <is>
          <t>Major</t>
        </is>
      </c>
      <c r="B4" s="4">
        <f>COUNTIF(Anomalies!C2:C21,"Major")</f>
        <v/>
      </c>
    </row>
    <row r="5">
      <c r="A5" s="5" t="inlineStr">
        <is>
          <t>Minor</t>
        </is>
      </c>
      <c r="B5" s="5">
        <f>COUNTIF(Anomalies!C2:C21,"Minor")</f>
        <v/>
      </c>
    </row>
    <row r="6">
      <c r="A6" s="4" t="inlineStr">
        <is>
          <t>Trivial</t>
        </is>
      </c>
      <c r="B6" s="4">
        <f>COUNTIF(Anomalies!C2:C21,"Trivial")</f>
        <v/>
      </c>
    </row>
    <row r="7">
      <c r="A7" s="5" t="inlineStr">
        <is>
          <t>Open</t>
        </is>
      </c>
      <c r="B7" s="5">
        <f>COUNTIF(Anomalies!E2:E21,"Open")</f>
        <v/>
      </c>
    </row>
    <row r="8">
      <c r="A8" s="4" t="inlineStr">
        <is>
          <t>Fixed</t>
        </is>
      </c>
      <c r="B8" s="4">
        <f>COUNTIF(Anomalies!E2:E21,"Fixed")</f>
        <v/>
      </c>
    </row>
    <row r="9">
      <c r="A9" s="5" t="inlineStr">
        <is>
          <t>Closed</t>
        </is>
      </c>
      <c r="B9" s="5">
        <f>COUNTIF(Anomalies!E2:E21,"Closed")</f>
        <v/>
      </c>
    </row>
  </sheetData>
  <autoFilter ref="A1:B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2026-04-06T12:15:01Z</dcterms:created>
  <dcterms:modified xmlns:dcterms="http://purl.org/dc/terms/" xmlns:xsi="http://www.w3.org/2001/XMLSchema-instance" xsi:type="dcterms:W3CDTF">2026-04-06T12:15:01Z</dcterms:modified>
</cp:coreProperties>
</file>