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-Directional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'Bi-Directional'!$A$1:$E$1</definedName>
    <definedName name="_xlnm._FilterDatabase" localSheetId="1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28" customWidth="1" min="3" max="3"/>
    <col width="14" customWidth="1" min="4" max="4"/>
    <col width="14" customWidth="1" min="5" max="5"/>
  </cols>
  <sheetData>
    <row r="1">
      <c r="A1" s="1" t="inlineStr">
        <is>
          <t>Requirement ID</t>
        </is>
      </c>
      <c r="B1" s="1" t="inlineStr">
        <is>
          <t>Forward Trace (Test Cases)</t>
        </is>
      </c>
      <c r="C1" s="1" t="inlineStr">
        <is>
          <t>Reverse Trace (Test Count)</t>
        </is>
      </c>
      <c r="D1" s="1" t="inlineStr">
        <is>
          <t>Gap Analysis</t>
        </is>
      </c>
      <c r="E1" s="1" t="inlineStr">
        <is>
          <t>Status</t>
        </is>
      </c>
    </row>
    <row r="2">
      <c r="A2" s="2" t="inlineStr">
        <is>
          <t>REQ001</t>
        </is>
      </c>
      <c r="B2" s="2" t="inlineStr">
        <is>
          <t>TC010, TC011, TC012, TC013</t>
        </is>
      </c>
      <c r="C2" s="2" t="n">
        <v>4</v>
      </c>
      <c r="D2" s="2" t="inlineStr">
        <is>
          <t>None</t>
        </is>
      </c>
      <c r="E2" s="2" t="inlineStr">
        <is>
          <t>Compliant</t>
        </is>
      </c>
    </row>
    <row r="3">
      <c r="A3" s="3" t="inlineStr">
        <is>
          <t>REQ002</t>
        </is>
      </c>
      <c r="B3" s="3" t="inlineStr">
        <is>
          <t>TC020, TC021, TC022, TC023, TC024</t>
        </is>
      </c>
      <c r="C3" s="3" t="n">
        <v>5</v>
      </c>
      <c r="D3" s="3" t="inlineStr">
        <is>
          <t>None</t>
        </is>
      </c>
      <c r="E3" s="3" t="inlineStr">
        <is>
          <t>Compliant</t>
        </is>
      </c>
    </row>
    <row r="4">
      <c r="A4" s="2" t="inlineStr">
        <is>
          <t>REQ003</t>
        </is>
      </c>
      <c r="B4" s="2" t="inlineStr">
        <is>
          <t>TC030, TC031, TC032, TC033, TC034, TC035</t>
        </is>
      </c>
      <c r="C4" s="2" t="n">
        <v>6</v>
      </c>
      <c r="D4" s="2" t="inlineStr">
        <is>
          <t>None</t>
        </is>
      </c>
      <c r="E4" s="2" t="inlineStr">
        <is>
          <t>Compliant</t>
        </is>
      </c>
    </row>
    <row r="5">
      <c r="A5" s="3" t="inlineStr">
        <is>
          <t>REQ004</t>
        </is>
      </c>
      <c r="B5" s="3" t="inlineStr">
        <is>
          <t>TC040, TC041, TC042, TC043, TC044, TC045, TC046</t>
        </is>
      </c>
      <c r="C5" s="3" t="n">
        <v>7</v>
      </c>
      <c r="D5" s="3" t="inlineStr">
        <is>
          <t>None</t>
        </is>
      </c>
      <c r="E5" s="3" t="inlineStr">
        <is>
          <t>Compliant</t>
        </is>
      </c>
    </row>
    <row r="6">
      <c r="A6" s="2" t="inlineStr">
        <is>
          <t>REQ005</t>
        </is>
      </c>
      <c r="B6" s="2" t="inlineStr">
        <is>
          <t>TC050, TC051, TC052</t>
        </is>
      </c>
      <c r="C6" s="2" t="n">
        <v>3</v>
      </c>
      <c r="D6" s="2" t="inlineStr">
        <is>
          <t>None</t>
        </is>
      </c>
      <c r="E6" s="2" t="inlineStr">
        <is>
          <t>Compliant</t>
        </is>
      </c>
    </row>
    <row r="7">
      <c r="A7" s="3" t="inlineStr">
        <is>
          <t>REQ006</t>
        </is>
      </c>
      <c r="B7" s="3" t="inlineStr">
        <is>
          <t>TC060, TC061, TC062, TC063</t>
        </is>
      </c>
      <c r="C7" s="3" t="n">
        <v>4</v>
      </c>
      <c r="D7" s="3" t="inlineStr">
        <is>
          <t>None</t>
        </is>
      </c>
      <c r="E7" s="3" t="inlineStr">
        <is>
          <t>Compliant</t>
        </is>
      </c>
    </row>
    <row r="8">
      <c r="A8" s="2" t="inlineStr">
        <is>
          <t>REQ007</t>
        </is>
      </c>
      <c r="B8" s="2" t="inlineStr">
        <is>
          <t>TC070, TC071, TC072, TC073, TC074</t>
        </is>
      </c>
      <c r="C8" s="2" t="n">
        <v>5</v>
      </c>
      <c r="D8" s="2" t="inlineStr">
        <is>
          <t>None</t>
        </is>
      </c>
      <c r="E8" s="2" t="inlineStr">
        <is>
          <t>Compliant</t>
        </is>
      </c>
    </row>
    <row r="9">
      <c r="A9" s="3" t="inlineStr">
        <is>
          <t>REQ008</t>
        </is>
      </c>
      <c r="B9" s="3" t="inlineStr">
        <is>
          <t>TC080, TC081, TC082, TC083, TC084, TC085</t>
        </is>
      </c>
      <c r="C9" s="3" t="n">
        <v>6</v>
      </c>
      <c r="D9" s="3" t="inlineStr">
        <is>
          <t>None</t>
        </is>
      </c>
      <c r="E9" s="3" t="inlineStr">
        <is>
          <t>Compliant</t>
        </is>
      </c>
    </row>
    <row r="10">
      <c r="A10" s="2" t="inlineStr">
        <is>
          <t>REQ009</t>
        </is>
      </c>
      <c r="B10" s="2" t="inlineStr">
        <is>
          <t>TC090, TC091, TC092, TC093, TC094, TC095, TC096</t>
        </is>
      </c>
      <c r="C10" s="2" t="n">
        <v>7</v>
      </c>
      <c r="D10" s="2" t="inlineStr">
        <is>
          <t>None</t>
        </is>
      </c>
      <c r="E10" s="2" t="inlineStr">
        <is>
          <t>Compliant</t>
        </is>
      </c>
    </row>
    <row r="11">
      <c r="A11" s="3" t="inlineStr">
        <is>
          <t>REQ010</t>
        </is>
      </c>
      <c r="B11" s="3" t="inlineStr">
        <is>
          <t>TC100, TC101, TC102</t>
        </is>
      </c>
      <c r="C11" s="3" t="n">
        <v>3</v>
      </c>
      <c r="D11" s="3" t="inlineStr">
        <is>
          <t>None</t>
        </is>
      </c>
      <c r="E11" s="3" t="inlineStr">
        <is>
          <t>Compliant</t>
        </is>
      </c>
    </row>
    <row r="12">
      <c r="A12" s="2" t="inlineStr">
        <is>
          <t>REQ011</t>
        </is>
      </c>
      <c r="B12" s="2" t="inlineStr">
        <is>
          <t>TC110, TC111, TC112, TC113</t>
        </is>
      </c>
      <c r="C12" s="2" t="n">
        <v>4</v>
      </c>
      <c r="D12" s="2" t="inlineStr">
        <is>
          <t>None</t>
        </is>
      </c>
      <c r="E12" s="2" t="inlineStr">
        <is>
          <t>Compliant</t>
        </is>
      </c>
    </row>
    <row r="13">
      <c r="A13" s="3" t="inlineStr">
        <is>
          <t>REQ012</t>
        </is>
      </c>
      <c r="B13" s="3" t="inlineStr">
        <is>
          <t>TC120, TC121, TC122, TC123, TC124</t>
        </is>
      </c>
      <c r="C13" s="3" t="n">
        <v>5</v>
      </c>
      <c r="D13" s="3" t="inlineStr">
        <is>
          <t>None</t>
        </is>
      </c>
      <c r="E13" s="3" t="inlineStr">
        <is>
          <t>Compliant</t>
        </is>
      </c>
    </row>
    <row r="14">
      <c r="A14" s="2" t="inlineStr">
        <is>
          <t>REQ013</t>
        </is>
      </c>
      <c r="B14" s="2" t="inlineStr">
        <is>
          <t>TC130, TC131, TC132, TC133, TC134, TC135</t>
        </is>
      </c>
      <c r="C14" s="2" t="n">
        <v>6</v>
      </c>
      <c r="D14" s="2" t="inlineStr">
        <is>
          <t>None</t>
        </is>
      </c>
      <c r="E14" s="2" t="inlineStr">
        <is>
          <t>Compliant</t>
        </is>
      </c>
    </row>
    <row r="15">
      <c r="A15" s="3" t="inlineStr">
        <is>
          <t>REQ014</t>
        </is>
      </c>
      <c r="B15" s="3" t="inlineStr">
        <is>
          <t>TC140, TC141, TC142, TC143, TC144, TC145, TC146</t>
        </is>
      </c>
      <c r="C15" s="3" t="n">
        <v>7</v>
      </c>
      <c r="D15" s="3" t="inlineStr">
        <is>
          <t>None</t>
        </is>
      </c>
      <c r="E15" s="3" t="inlineStr">
        <is>
          <t>Compliant</t>
        </is>
      </c>
    </row>
    <row r="16">
      <c r="A16" s="2" t="inlineStr">
        <is>
          <t>REQ015</t>
        </is>
      </c>
      <c r="B16" s="2" t="inlineStr">
        <is>
          <t>TC150, TC151, TC152</t>
        </is>
      </c>
      <c r="C16" s="2" t="n">
        <v>3</v>
      </c>
      <c r="D16" s="2" t="inlineStr">
        <is>
          <t>None</t>
        </is>
      </c>
      <c r="E16" s="2" t="inlineStr">
        <is>
          <t>Compliant</t>
        </is>
      </c>
    </row>
    <row r="17">
      <c r="A17" s="3" t="inlineStr">
        <is>
          <t>REQ016</t>
        </is>
      </c>
      <c r="B17" s="3" t="inlineStr">
        <is>
          <t>TC160, TC161, TC162, TC163</t>
        </is>
      </c>
      <c r="C17" s="3" t="n">
        <v>4</v>
      </c>
      <c r="D17" s="3" t="inlineStr">
        <is>
          <t>None</t>
        </is>
      </c>
      <c r="E17" s="3" t="inlineStr">
        <is>
          <t>Compliant</t>
        </is>
      </c>
    </row>
    <row r="18">
      <c r="A18" s="2" t="inlineStr">
        <is>
          <t>REQ017</t>
        </is>
      </c>
      <c r="B18" s="2" t="inlineStr">
        <is>
          <t>TC170, TC171, TC172, TC173, TC174</t>
        </is>
      </c>
      <c r="C18" s="2" t="n">
        <v>5</v>
      </c>
      <c r="D18" s="2" t="inlineStr">
        <is>
          <t>None</t>
        </is>
      </c>
      <c r="E18" s="2" t="inlineStr">
        <is>
          <t>Compliant</t>
        </is>
      </c>
    </row>
    <row r="19">
      <c r="A19" s="3" t="inlineStr">
        <is>
          <t>REQ018</t>
        </is>
      </c>
      <c r="B19" s="3" t="inlineStr">
        <is>
          <t>TC180, TC181, TC182, TC183, TC184, TC185</t>
        </is>
      </c>
      <c r="C19" s="3" t="n">
        <v>6</v>
      </c>
      <c r="D19" s="3" t="inlineStr">
        <is>
          <t>None</t>
        </is>
      </c>
      <c r="E19" s="3" t="inlineStr">
        <is>
          <t>Compliant</t>
        </is>
      </c>
    </row>
    <row r="20">
      <c r="A20" s="2" t="inlineStr">
        <is>
          <t>REQ019</t>
        </is>
      </c>
      <c r="B20" s="2" t="inlineStr">
        <is>
          <t>TC190, TC191, TC192, TC193, TC194, TC195, TC196</t>
        </is>
      </c>
      <c r="C20" s="2" t="n">
        <v>7</v>
      </c>
      <c r="D20" s="2" t="inlineStr">
        <is>
          <t>None</t>
        </is>
      </c>
      <c r="E20" s="2" t="inlineStr">
        <is>
          <t>Compliant</t>
        </is>
      </c>
    </row>
    <row r="21">
      <c r="A21" s="3" t="inlineStr">
        <is>
          <t>REQ020</t>
        </is>
      </c>
      <c r="B21" s="3" t="inlineStr">
        <is>
          <t>TC200, TC201, TC202</t>
        </is>
      </c>
      <c r="C21" s="3" t="n">
        <v>3</v>
      </c>
      <c r="D21" s="3" t="inlineStr">
        <is>
          <t>None</t>
        </is>
      </c>
      <c r="E21" s="3" t="inlineStr">
        <is>
          <t>Compliant</t>
        </is>
      </c>
    </row>
    <row r="22">
      <c r="A22" s="2" t="inlineStr">
        <is>
          <t>REQ021</t>
        </is>
      </c>
      <c r="B22" s="2" t="inlineStr">
        <is>
          <t>TC210, TC211, TC212, TC213</t>
        </is>
      </c>
      <c r="C22" s="2" t="n">
        <v>4</v>
      </c>
      <c r="D22" s="2" t="inlineStr">
        <is>
          <t>None</t>
        </is>
      </c>
      <c r="E22" s="2" t="inlineStr">
        <is>
          <t>Compliant</t>
        </is>
      </c>
    </row>
    <row r="23">
      <c r="A23" s="3" t="inlineStr">
        <is>
          <t>REQ022</t>
        </is>
      </c>
      <c r="B23" s="3" t="inlineStr">
        <is>
          <t>TC220, TC221, TC222, TC223, TC224</t>
        </is>
      </c>
      <c r="C23" s="3" t="n">
        <v>5</v>
      </c>
      <c r="D23" s="3" t="inlineStr">
        <is>
          <t>None</t>
        </is>
      </c>
      <c r="E23" s="3" t="inlineStr">
        <is>
          <t>Compliant</t>
        </is>
      </c>
    </row>
    <row r="24">
      <c r="A24" s="2" t="inlineStr">
        <is>
          <t>REQ023</t>
        </is>
      </c>
      <c r="B24" s="2" t="inlineStr">
        <is>
          <t>TC230, TC231, TC232, TC233, TC234, TC235</t>
        </is>
      </c>
      <c r="C24" s="2" t="n">
        <v>6</v>
      </c>
      <c r="D24" s="2" t="inlineStr">
        <is>
          <t>None</t>
        </is>
      </c>
      <c r="E24" s="2" t="inlineStr">
        <is>
          <t>Compliant</t>
        </is>
      </c>
    </row>
    <row r="25">
      <c r="A25" s="3" t="inlineStr">
        <is>
          <t>REQ024</t>
        </is>
      </c>
      <c r="B25" s="3" t="inlineStr">
        <is>
          <t>TC240, TC241, TC242, TC243, TC244, TC245, TC246</t>
        </is>
      </c>
      <c r="C25" s="3" t="n">
        <v>7</v>
      </c>
      <c r="D25" s="3" t="inlineStr">
        <is>
          <t>None</t>
        </is>
      </c>
      <c r="E25" s="3" t="inlineStr">
        <is>
          <t>Compliant</t>
        </is>
      </c>
    </row>
    <row r="26">
      <c r="A26" s="2" t="inlineStr">
        <is>
          <t>REQ025</t>
        </is>
      </c>
      <c r="B26" s="2" t="inlineStr">
        <is>
          <t>TC250, TC251, TC252</t>
        </is>
      </c>
      <c r="C26" s="2" t="n">
        <v>3</v>
      </c>
      <c r="D26" s="2" t="inlineStr">
        <is>
          <t>None</t>
        </is>
      </c>
      <c r="E26" s="2" t="inlineStr">
        <is>
          <t>Compliant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4" t="inlineStr">
        <is>
          <t>Total Requirements</t>
        </is>
      </c>
      <c r="B2" s="4" t="n">
        <v>25</v>
      </c>
    </row>
    <row r="3">
      <c r="A3" s="5" t="inlineStr">
        <is>
          <t>Fully Traced</t>
        </is>
      </c>
      <c r="B3" s="5">
        <f>COUNTIF('Bi-Directional'!E2:E26,"Compliant")</f>
        <v/>
      </c>
    </row>
    <row r="4">
      <c r="A4" s="4" t="inlineStr">
        <is>
          <t>With Gaps</t>
        </is>
      </c>
      <c r="B4" s="4">
        <f>COUNTIF('Bi-Directional'!E2:E26,"Action Required")</f>
        <v/>
      </c>
    </row>
    <row r="5">
      <c r="A5" s="5" t="inlineStr">
        <is>
          <t>Traceability Ratio</t>
        </is>
      </c>
      <c r="B5" s="5">
        <f>COUNTIF('Bi-Directional'!E2:E26,"Compliant")/25*100</f>
        <v/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