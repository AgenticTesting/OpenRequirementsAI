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by Feature" sheetId="1" state="visible" r:id="rId1"/>
    <sheet xmlns:r="http://schemas.openxmlformats.org/officeDocument/2006/relationships" name="Cost Summary" sheetId="2" state="visible" r:id="rId2"/>
  </sheets>
  <definedNames>
    <definedName name="_xlnm._FilterDatabase" localSheetId="0" hidden="1">'Effort by Feature'!$A$1:$F$1</definedName>
    <definedName name="_xlnm._FilterDatabase" localSheetId="1" hidden="1">'Cost Summary'!$A$1:$C$1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Feature</t>
        </is>
      </c>
      <c r="B1" s="1" t="inlineStr">
        <is>
          <t>Planned Hours</t>
        </is>
      </c>
      <c r="C1" s="1" t="inlineStr">
        <is>
          <t>Actual Hours</t>
        </is>
      </c>
      <c r="D1" s="1" t="inlineStr">
        <is>
          <t>Variance</t>
        </is>
      </c>
      <c r="E1" s="1" t="inlineStr">
        <is>
          <t>Cost/Hour</t>
        </is>
      </c>
      <c r="F1" s="1" t="inlineStr">
        <is>
          <t>Total Cost</t>
        </is>
      </c>
    </row>
    <row r="2">
      <c r="A2" s="2" t="inlineStr">
        <is>
          <t>Feature_1</t>
        </is>
      </c>
      <c r="B2" s="2" t="n">
        <v>42</v>
      </c>
      <c r="C2" s="2" t="n">
        <v>41</v>
      </c>
      <c r="D2" s="2">
        <f>D2-C2</f>
        <v/>
      </c>
      <c r="E2" s="2" t="n">
        <v>150</v>
      </c>
      <c r="F2" s="2">
        <f>E2*D2</f>
        <v/>
      </c>
    </row>
    <row r="3">
      <c r="A3" s="3" t="inlineStr">
        <is>
          <t>Feature_2</t>
        </is>
      </c>
      <c r="B3" s="3" t="n">
        <v>44</v>
      </c>
      <c r="C3" s="3" t="n">
        <v>44</v>
      </c>
      <c r="D3" s="3">
        <f>D3-C3</f>
        <v/>
      </c>
      <c r="E3" s="3" t="n">
        <v>150</v>
      </c>
      <c r="F3" s="3">
        <f>E3*D3</f>
        <v/>
      </c>
    </row>
    <row r="4">
      <c r="A4" s="2" t="inlineStr">
        <is>
          <t>Feature_3</t>
        </is>
      </c>
      <c r="B4" s="2" t="n">
        <v>46</v>
      </c>
      <c r="C4" s="2" t="n">
        <v>47</v>
      </c>
      <c r="D4" s="2">
        <f>D4-C4</f>
        <v/>
      </c>
      <c r="E4" s="2" t="n">
        <v>150</v>
      </c>
      <c r="F4" s="2">
        <f>E4*D4</f>
        <v/>
      </c>
    </row>
    <row r="5">
      <c r="A5" s="3" t="inlineStr">
        <is>
          <t>Feature_4</t>
        </is>
      </c>
      <c r="B5" s="3" t="n">
        <v>48</v>
      </c>
      <c r="C5" s="3" t="n">
        <v>50</v>
      </c>
      <c r="D5" s="3">
        <f>D5-C5</f>
        <v/>
      </c>
      <c r="E5" s="3" t="n">
        <v>150</v>
      </c>
      <c r="F5" s="3">
        <f>E5*D5</f>
        <v/>
      </c>
    </row>
    <row r="6">
      <c r="A6" s="2" t="inlineStr">
        <is>
          <t>Feature_5</t>
        </is>
      </c>
      <c r="B6" s="2" t="n">
        <v>50</v>
      </c>
      <c r="C6" s="2" t="n">
        <v>48</v>
      </c>
      <c r="D6" s="2">
        <f>D6-C6</f>
        <v/>
      </c>
      <c r="E6" s="2" t="n">
        <v>150</v>
      </c>
      <c r="F6" s="2">
        <f>E6*D6</f>
        <v/>
      </c>
    </row>
    <row r="7">
      <c r="A7" s="3" t="inlineStr">
        <is>
          <t>Feature_6</t>
        </is>
      </c>
      <c r="B7" s="3" t="n">
        <v>52</v>
      </c>
      <c r="C7" s="3" t="n">
        <v>51</v>
      </c>
      <c r="D7" s="3">
        <f>D7-C7</f>
        <v/>
      </c>
      <c r="E7" s="3" t="n">
        <v>150</v>
      </c>
      <c r="F7" s="3">
        <f>E7*D7</f>
        <v/>
      </c>
    </row>
    <row r="8">
      <c r="A8" s="2" t="inlineStr">
        <is>
          <t>Feature_7</t>
        </is>
      </c>
      <c r="B8" s="2" t="n">
        <v>54</v>
      </c>
      <c r="C8" s="2" t="n">
        <v>54</v>
      </c>
      <c r="D8" s="2">
        <f>D8-C8</f>
        <v/>
      </c>
      <c r="E8" s="2" t="n">
        <v>150</v>
      </c>
      <c r="F8" s="2">
        <f>E8*D8</f>
        <v/>
      </c>
    </row>
    <row r="9">
      <c r="A9" s="3" t="inlineStr">
        <is>
          <t>Feature_8</t>
        </is>
      </c>
      <c r="B9" s="3" t="n">
        <v>56</v>
      </c>
      <c r="C9" s="3" t="n">
        <v>57</v>
      </c>
      <c r="D9" s="3">
        <f>D9-C9</f>
        <v/>
      </c>
      <c r="E9" s="3" t="n">
        <v>150</v>
      </c>
      <c r="F9" s="3">
        <f>E9*D9</f>
        <v/>
      </c>
    </row>
    <row r="10">
      <c r="A10" s="2" t="inlineStr">
        <is>
          <t>Feature_9</t>
        </is>
      </c>
      <c r="B10" s="2" t="n">
        <v>58</v>
      </c>
      <c r="C10" s="2" t="n">
        <v>60</v>
      </c>
      <c r="D10" s="2">
        <f>D10-C10</f>
        <v/>
      </c>
      <c r="E10" s="2" t="n">
        <v>150</v>
      </c>
      <c r="F10" s="2">
        <f>E10*D10</f>
        <v/>
      </c>
    </row>
    <row r="11">
      <c r="A11" s="3" t="inlineStr">
        <is>
          <t>Feature_10</t>
        </is>
      </c>
      <c r="B11" s="3" t="n">
        <v>60</v>
      </c>
      <c r="C11" s="3" t="n">
        <v>58</v>
      </c>
      <c r="D11" s="3">
        <f>D11-C11</f>
        <v/>
      </c>
      <c r="E11" s="3" t="n">
        <v>150</v>
      </c>
      <c r="F11" s="3">
        <f>E11*D11</f>
        <v/>
      </c>
    </row>
    <row r="12">
      <c r="A12" s="2" t="inlineStr">
        <is>
          <t>Feature_11</t>
        </is>
      </c>
      <c r="B12" s="2" t="n">
        <v>62</v>
      </c>
      <c r="C12" s="2" t="n">
        <v>61</v>
      </c>
      <c r="D12" s="2">
        <f>D12-C12</f>
        <v/>
      </c>
      <c r="E12" s="2" t="n">
        <v>150</v>
      </c>
      <c r="F12" s="2">
        <f>E12*D12</f>
        <v/>
      </c>
    </row>
    <row r="13">
      <c r="A13" s="3" t="inlineStr">
        <is>
          <t>Feature_12</t>
        </is>
      </c>
      <c r="B13" s="3" t="n">
        <v>64</v>
      </c>
      <c r="C13" s="3" t="n">
        <v>64</v>
      </c>
      <c r="D13" s="3">
        <f>D13-C13</f>
        <v/>
      </c>
      <c r="E13" s="3" t="n">
        <v>150</v>
      </c>
      <c r="F13" s="3">
        <f>E13*D13</f>
        <v/>
      </c>
    </row>
    <row r="14">
      <c r="A14" s="2" t="inlineStr">
        <is>
          <t>Feature_13</t>
        </is>
      </c>
      <c r="B14" s="2" t="n">
        <v>66</v>
      </c>
      <c r="C14" s="2" t="n">
        <v>67</v>
      </c>
      <c r="D14" s="2">
        <f>D14-C14</f>
        <v/>
      </c>
      <c r="E14" s="2" t="n">
        <v>150</v>
      </c>
      <c r="F14" s="2">
        <f>E14*D14</f>
        <v/>
      </c>
    </row>
    <row r="15">
      <c r="A15" s="3" t="inlineStr">
        <is>
          <t>Feature_14</t>
        </is>
      </c>
      <c r="B15" s="3" t="n">
        <v>68</v>
      </c>
      <c r="C15" s="3" t="n">
        <v>70</v>
      </c>
      <c r="D15" s="3">
        <f>D15-C15</f>
        <v/>
      </c>
      <c r="E15" s="3" t="n">
        <v>150</v>
      </c>
      <c r="F15" s="3">
        <f>E15*D15</f>
        <v/>
      </c>
    </row>
    <row r="16">
      <c r="A16" s="2" t="inlineStr">
        <is>
          <t>Feature_15</t>
        </is>
      </c>
      <c r="B16" s="2" t="n">
        <v>70</v>
      </c>
      <c r="C16" s="2" t="n">
        <v>68</v>
      </c>
      <c r="D16" s="2">
        <f>D16-C16</f>
        <v/>
      </c>
      <c r="E16" s="2" t="n">
        <v>150</v>
      </c>
      <c r="F16" s="2">
        <f>E16*D16</f>
        <v/>
      </c>
    </row>
    <row r="17">
      <c r="A17" s="3" t="inlineStr">
        <is>
          <t>Feature_16</t>
        </is>
      </c>
      <c r="B17" s="3" t="n">
        <v>72</v>
      </c>
      <c r="C17" s="3" t="n">
        <v>71</v>
      </c>
      <c r="D17" s="3">
        <f>D17-C17</f>
        <v/>
      </c>
      <c r="E17" s="3" t="n">
        <v>150</v>
      </c>
      <c r="F17" s="3">
        <f>E17*D17</f>
        <v/>
      </c>
    </row>
    <row r="18">
      <c r="A18" s="2" t="inlineStr">
        <is>
          <t>Feature_17</t>
        </is>
      </c>
      <c r="B18" s="2" t="n">
        <v>74</v>
      </c>
      <c r="C18" s="2" t="n">
        <v>74</v>
      </c>
      <c r="D18" s="2">
        <f>D18-C18</f>
        <v/>
      </c>
      <c r="E18" s="2" t="n">
        <v>150</v>
      </c>
      <c r="F18" s="2">
        <f>E18*D18</f>
        <v/>
      </c>
    </row>
    <row r="19">
      <c r="A19" s="3" t="inlineStr">
        <is>
          <t>Feature_18</t>
        </is>
      </c>
      <c r="B19" s="3" t="n">
        <v>76</v>
      </c>
      <c r="C19" s="3" t="n">
        <v>77</v>
      </c>
      <c r="D19" s="3">
        <f>D19-C19</f>
        <v/>
      </c>
      <c r="E19" s="3" t="n">
        <v>150</v>
      </c>
      <c r="F19" s="3">
        <f>E19*D19</f>
        <v/>
      </c>
    </row>
    <row r="20">
      <c r="A20" s="2" t="inlineStr">
        <is>
          <t>Feature_19</t>
        </is>
      </c>
      <c r="B20" s="2" t="n">
        <v>78</v>
      </c>
      <c r="C20" s="2" t="n">
        <v>80</v>
      </c>
      <c r="D20" s="2">
        <f>D20-C20</f>
        <v/>
      </c>
      <c r="E20" s="2" t="n">
        <v>150</v>
      </c>
      <c r="F20" s="2">
        <f>E20*D20</f>
        <v/>
      </c>
    </row>
    <row r="21">
      <c r="A21" s="3" t="inlineStr">
        <is>
          <t>Feature_20</t>
        </is>
      </c>
      <c r="B21" s="3" t="n">
        <v>80</v>
      </c>
      <c r="C21" s="3" t="n">
        <v>78</v>
      </c>
      <c r="D21" s="3">
        <f>D21-C21</f>
        <v/>
      </c>
      <c r="E21" s="3" t="n">
        <v>150</v>
      </c>
      <c r="F21" s="3">
        <f>E21*D21</f>
        <v/>
      </c>
    </row>
    <row r="22">
      <c r="A22" s="2" t="inlineStr">
        <is>
          <t>Feature_21</t>
        </is>
      </c>
      <c r="B22" s="2" t="n">
        <v>82</v>
      </c>
      <c r="C22" s="2" t="n">
        <v>81</v>
      </c>
      <c r="D22" s="2">
        <f>D22-C22</f>
        <v/>
      </c>
      <c r="E22" s="2" t="n">
        <v>150</v>
      </c>
      <c r="F22" s="2">
        <f>E22*D22</f>
        <v/>
      </c>
    </row>
    <row r="23">
      <c r="A23" s="3" t="inlineStr">
        <is>
          <t>Feature_22</t>
        </is>
      </c>
      <c r="B23" s="3" t="n">
        <v>84</v>
      </c>
      <c r="C23" s="3" t="n">
        <v>84</v>
      </c>
      <c r="D23" s="3">
        <f>D23-C23</f>
        <v/>
      </c>
      <c r="E23" s="3" t="n">
        <v>150</v>
      </c>
      <c r="F23" s="3">
        <f>E23*D23</f>
        <v/>
      </c>
    </row>
    <row r="24">
      <c r="A24" s="2" t="inlineStr">
        <is>
          <t>Feature_23</t>
        </is>
      </c>
      <c r="B24" s="2" t="n">
        <v>86</v>
      </c>
      <c r="C24" s="2" t="n">
        <v>87</v>
      </c>
      <c r="D24" s="2">
        <f>D24-C24</f>
        <v/>
      </c>
      <c r="E24" s="2" t="n">
        <v>150</v>
      </c>
      <c r="F24" s="2">
        <f>E24*D24</f>
        <v/>
      </c>
    </row>
    <row r="25">
      <c r="A25" s="3" t="inlineStr">
        <is>
          <t>Feature_24</t>
        </is>
      </c>
      <c r="B25" s="3" t="n">
        <v>88</v>
      </c>
      <c r="C25" s="3" t="n">
        <v>90</v>
      </c>
      <c r="D25" s="3">
        <f>D25-C25</f>
        <v/>
      </c>
      <c r="E25" s="3" t="n">
        <v>150</v>
      </c>
      <c r="F25" s="3">
        <f>E25*D25</f>
        <v/>
      </c>
    </row>
    <row r="26">
      <c r="A26" s="2" t="inlineStr">
        <is>
          <t>Feature_25</t>
        </is>
      </c>
      <c r="B26" s="2" t="n">
        <v>90</v>
      </c>
      <c r="C26" s="2" t="n">
        <v>88</v>
      </c>
      <c r="D26" s="2">
        <f>D26-C26</f>
        <v/>
      </c>
      <c r="E26" s="2" t="n">
        <v>150</v>
      </c>
      <c r="F26" s="2">
        <f>E26*D26</f>
        <v/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s="4" t="inlineStr">
        <is>
          <t>Total Testing Effort Cost</t>
        </is>
      </c>
      <c r="B2" s="4">
        <f>SUM('Effort by Feature'!F2:F26)</f>
        <v/>
      </c>
      <c r="C2" s="4" t="inlineStr">
        <is>
          <t>100%</t>
        </is>
      </c>
    </row>
    <row r="3">
      <c r="A3" s="5" t="inlineStr">
        <is>
          <t>Cost per Test Case</t>
        </is>
      </c>
      <c r="B3" s="5">
        <f>B2/356</f>
        <v/>
      </c>
      <c r="C3" s="5" t="inlineStr">
        <is>
          <t>N/A</t>
        </is>
      </c>
    </row>
    <row r="4">
      <c r="A4" s="4" t="inlineStr">
        <is>
          <t>Cost per Defect Found</t>
        </is>
      </c>
      <c r="B4" s="4">
        <f>B2/32</f>
        <v/>
      </c>
      <c r="C4" s="4" t="inlineStr">
        <is>
          <t>N/A</t>
        </is>
      </c>
    </row>
    <row r="5">
      <c r="A5" s="5" t="inlineStr">
        <is>
          <t>Average Feature Cost</t>
        </is>
      </c>
      <c r="B5" s="5">
        <f>AVERAGE('Effort by Feature'!F2:F26)</f>
        <v/>
      </c>
      <c r="C5" s="5" t="inlineStr">
        <is>
          <t>N/A</t>
        </is>
      </c>
    </row>
    <row r="6">
      <c r="A6" s="4" t="inlineStr">
        <is>
          <t>ROI (Defect Prevention)</t>
        </is>
      </c>
      <c r="B6" s="4">
        <f>B2*5</f>
        <v/>
      </c>
      <c r="C6" s="4" t="inlineStr">
        <is>
          <t>N/A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2026-04-06T12:15:02Z</dcterms:created>
  <dcterms:modified xmlns:dcterms="http://purl.org/dc/terms/" xmlns:xsi="http://www.w3.org/2001/XMLSchema-instance" xsi:type="dcterms:W3CDTF">2026-04-06T12:15:02Z</dcterms:modified>
</cp:coreProperties>
</file>