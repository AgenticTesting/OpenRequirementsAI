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G Dashboard" sheetId="1" state="visible" r:id="rId1"/>
    <sheet xmlns:r="http://schemas.openxmlformats.org/officeDocument/2006/relationships" name="Execution by Level" sheetId="2" state="visible" r:id="rId2"/>
    <sheet xmlns:r="http://schemas.openxmlformats.org/officeDocument/2006/relationships" name="Execution by Type" sheetId="3" state="visible" r:id="rId3"/>
    <sheet xmlns:r="http://schemas.openxmlformats.org/officeDocument/2006/relationships" name="Execution by Priority" sheetId="4" state="visible" r:id="rId4"/>
    <sheet xmlns:r="http://schemas.openxmlformats.org/officeDocument/2006/relationships" name="Defect Summary" sheetId="5" state="visible" r:id="rId5"/>
    <sheet xmlns:r="http://schemas.openxmlformats.org/officeDocument/2006/relationships" name="Feature Defects" sheetId="6" state="visible" r:id="rId6"/>
    <sheet xmlns:r="http://schemas.openxmlformats.org/officeDocument/2006/relationships" name="Quality Assessment" sheetId="7" state="visible" r:id="rId7"/>
    <sheet xmlns:r="http://schemas.openxmlformats.org/officeDocument/2006/relationships" name="Exit Criteria" sheetId="8" state="visible" r:id="rId8"/>
    <sheet xmlns:r="http://schemas.openxmlformats.org/officeDocument/2006/relationships" name="Release Advice" sheetId="9" state="visible" r:id="rId9"/>
    <sheet xmlns:r="http://schemas.openxmlformats.org/officeDocument/2006/relationships" name="Risk Mitigation" sheetId="10" state="visible" r:id="rId10"/>
    <sheet xmlns:r="http://schemas.openxmlformats.org/officeDocument/2006/relationships" name="Sprint Trends" sheetId="11" state="visible" r:id="rId11"/>
    <sheet xmlns:r="http://schemas.openxmlformats.org/officeDocument/2006/relationships" name="Root Cause Pareto" sheetId="12" state="visible" r:id="rId12"/>
    <sheet xmlns:r="http://schemas.openxmlformats.org/officeDocument/2006/relationships" name="Lessons Learned" sheetId="13" state="visible" r:id="rId13"/>
  </sheets>
  <definedNames>
    <definedName name="_xlnm._FilterDatabase" localSheetId="0" hidden="1">'RAG Dashboard'!$A$1:$K$11</definedName>
    <definedName name="_xlnm._FilterDatabase" localSheetId="1" hidden="1">'Execution by Level'!$A$1:$H$8</definedName>
    <definedName name="_xlnm._FilterDatabase" localSheetId="2" hidden="1">'Execution by Type'!$A$1:$H$7</definedName>
    <definedName name="_xlnm._FilterDatabase" localSheetId="3" hidden="1">'Execution by Priority'!$A$1:$H$6</definedName>
    <definedName name="_xlnm._FilterDatabase" localSheetId="4" hidden="1">'Defect Summary'!$A$1:$H$6</definedName>
    <definedName name="_xlnm._FilterDatabase" localSheetId="5" hidden="1">'Feature Defects'!$A$1:$H$11</definedName>
    <definedName name="_xlnm._FilterDatabase" localSheetId="6" hidden="1">'Quality Assessment'!$A$1:$F$9</definedName>
    <definedName name="_xlnm._FilterDatabase" localSheetId="7" hidden="1">'Exit Criteria'!$A$1:$G$35</definedName>
    <definedName name="_xlnm._FilterDatabase" localSheetId="8" hidden="1">'Release Advice'!$A$1:$F$13</definedName>
    <definedName name="_xlnm._FilterDatabase" localSheetId="9" hidden="1">'Risk Mitigation'!$A$1:$G$20</definedName>
    <definedName name="_xlnm._FilterDatabase" localSheetId="10" hidden="1">'Sprint Trends'!$A$1:$H$7</definedName>
    <definedName name="_xlnm._FilterDatabase" localSheetId="11" hidden="1">'Root Cause Pareto'!$A$1:$D$9</definedName>
    <definedName name="_xlnm._FilterDatabase" localSheetId="12" hidden="1">'Lessons Learned'!$A$1:$F$9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FF"/>
        <bgColor rgb="00FFFFFF"/>
      </patternFill>
    </fill>
    <fill>
      <patternFill patternType="solid">
        <fgColor rgb="00F39C12"/>
        <bgColor rgb="00F39C12"/>
      </patternFill>
    </fill>
    <fill>
      <patternFill patternType="solid">
        <fgColor rgb="00F2F7FB"/>
        <bgColor rgb="00F2F7FB"/>
      </patternFill>
    </fill>
    <fill>
      <patternFill patternType="solid">
        <fgColor rgb="0027AE60"/>
        <bgColor rgb="0027AE60"/>
      </patternFill>
    </fill>
    <fill>
      <patternFill patternType="solid">
        <fgColor rgb="00E74C3C"/>
        <bgColor rgb="00E74C3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9" fontId="2" fillId="3" borderId="1" applyAlignment="1" pivotButton="0" quotePrefix="0" xfId="0">
      <alignment horizontal="left" vertical="center"/>
    </xf>
    <xf numFmtId="9" fontId="2" fillId="5" borderId="1" applyAlignment="1" pivotButton="0" quotePrefix="0" xfId="0">
      <alignment horizontal="left" vertical="center"/>
    </xf>
    <xf numFmtId="9" fontId="4" fillId="5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center" vertical="center"/>
    </xf>
    <xf numFmtId="0" fontId="4" fillId="5" borderId="1" pivotButton="0" quotePrefix="0" xfId="0"/>
    <xf numFmtId="0" fontId="2" fillId="3" borderId="1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0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RAG</t>
        </is>
      </c>
      <c r="E1" s="1" t="inlineStr">
        <is>
          <t>Trend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S3</t>
        </is>
      </c>
      <c r="I1" s="1" t="inlineStr">
        <is>
          <t>S4</t>
        </is>
      </c>
      <c r="J1" s="1" t="inlineStr">
        <is>
          <t>S5</t>
        </is>
      </c>
      <c r="K1" s="1" t="inlineStr">
        <is>
          <t>S6</t>
        </is>
      </c>
    </row>
    <row r="2">
      <c r="A2" s="2" t="inlineStr">
        <is>
          <t>Execution Progress</t>
        </is>
      </c>
      <c r="B2" s="2" t="inlineStr">
        <is>
          <t>90%</t>
        </is>
      </c>
      <c r="C2" s="2" t="inlineStr">
        <is>
          <t>75%</t>
        </is>
      </c>
      <c r="D2" s="3" t="inlineStr">
        <is>
          <t>AMBER</t>
        </is>
      </c>
      <c r="E2" s="2" t="inlineStr">
        <is>
          <t>+8%</t>
        </is>
      </c>
      <c r="F2" s="2" t="inlineStr">
        <is>
          <t>10%</t>
        </is>
      </c>
      <c r="G2" s="2" t="inlineStr">
        <is>
          <t>25%</t>
        </is>
      </c>
      <c r="H2" s="2" t="inlineStr">
        <is>
          <t>40%</t>
        </is>
      </c>
      <c r="I2" s="2" t="inlineStr">
        <is>
          <t>55%</t>
        </is>
      </c>
      <c r="J2" s="2" t="inlineStr">
        <is>
          <t>67%</t>
        </is>
      </c>
      <c r="K2" s="2" t="inlineStr">
        <is>
          <t>75%</t>
        </is>
      </c>
    </row>
    <row r="3">
      <c r="A3" s="4" t="inlineStr">
        <is>
          <t>Pass Rate</t>
        </is>
      </c>
      <c r="B3" s="4" t="inlineStr">
        <is>
          <t>95%</t>
        </is>
      </c>
      <c r="C3" s="4" t="inlineStr">
        <is>
          <t>90%</t>
        </is>
      </c>
      <c r="D3" s="3" t="inlineStr">
        <is>
          <t>AMBER</t>
        </is>
      </c>
      <c r="E3" s="4" t="inlineStr">
        <is>
          <t>+1%</t>
        </is>
      </c>
      <c r="F3" s="4" t="inlineStr">
        <is>
          <t>96%</t>
        </is>
      </c>
      <c r="G3" s="4" t="inlineStr">
        <is>
          <t>93%</t>
        </is>
      </c>
      <c r="H3" s="4" t="inlineStr">
        <is>
          <t>88%</t>
        </is>
      </c>
      <c r="I3" s="4" t="inlineStr">
        <is>
          <t>86%</t>
        </is>
      </c>
      <c r="J3" s="4" t="inlineStr">
        <is>
          <t>89%</t>
        </is>
      </c>
      <c r="K3" s="4" t="inlineStr">
        <is>
          <t>90%</t>
        </is>
      </c>
    </row>
    <row r="4">
      <c r="A4" s="2" t="inlineStr">
        <is>
          <t>Defect Discovery Rate</t>
        </is>
      </c>
      <c r="B4" s="2" t="inlineStr">
        <is>
          <t>&lt;5/day</t>
        </is>
      </c>
      <c r="C4" s="2" t="inlineStr">
        <is>
          <t>2.3/day</t>
        </is>
      </c>
      <c r="D4" s="5" t="inlineStr">
        <is>
          <t>GREEN</t>
        </is>
      </c>
      <c r="E4" s="2" t="inlineStr">
        <is>
          <t>-0.7</t>
        </is>
      </c>
      <c r="F4" s="2" t="inlineStr">
        <is>
          <t>0.8</t>
        </is>
      </c>
      <c r="G4" s="2" t="inlineStr">
        <is>
          <t>1.5</t>
        </is>
      </c>
      <c r="H4" s="2" t="inlineStr">
        <is>
          <t>2.8</t>
        </is>
      </c>
      <c r="I4" s="2" t="inlineStr">
        <is>
          <t>3.2</t>
        </is>
      </c>
      <c r="J4" s="2" t="inlineStr">
        <is>
          <t>2.5</t>
        </is>
      </c>
      <c r="K4" s="2" t="inlineStr">
        <is>
          <t>1.8</t>
        </is>
      </c>
    </row>
    <row r="5">
      <c r="A5" s="4" t="inlineStr">
        <is>
          <t>Blocked Rate</t>
        </is>
      </c>
      <c r="B5" s="4" t="inlineStr">
        <is>
          <t>&lt;5%</t>
        </is>
      </c>
      <c r="C5" s="4" t="inlineStr">
        <is>
          <t>3%</t>
        </is>
      </c>
      <c r="D5" s="5" t="inlineStr">
        <is>
          <t>GREEN</t>
        </is>
      </c>
      <c r="E5" s="4" t="inlineStr">
        <is>
          <t>-1%</t>
        </is>
      </c>
      <c r="F5" s="4" t="inlineStr">
        <is>
          <t>5%</t>
        </is>
      </c>
      <c r="G5" s="4" t="inlineStr">
        <is>
          <t>4%</t>
        </is>
      </c>
      <c r="H5" s="4" t="inlineStr">
        <is>
          <t>6%</t>
        </is>
      </c>
      <c r="I5" s="4" t="inlineStr">
        <is>
          <t>5%</t>
        </is>
      </c>
      <c r="J5" s="4" t="inlineStr">
        <is>
          <t>4%</t>
        </is>
      </c>
      <c r="K5" s="4" t="inlineStr">
        <is>
          <t>3%</t>
        </is>
      </c>
    </row>
    <row r="6">
      <c r="A6" s="2" t="inlineStr">
        <is>
          <t>Open Critical Defects</t>
        </is>
      </c>
      <c r="B6" s="2" t="inlineStr">
        <is>
          <t>0</t>
        </is>
      </c>
      <c r="C6" s="2" t="inlineStr">
        <is>
          <t>8</t>
        </is>
      </c>
      <c r="D6" s="6" t="inlineStr">
        <is>
          <t>RED</t>
        </is>
      </c>
      <c r="E6" s="2" t="inlineStr">
        <is>
          <t>+2</t>
        </is>
      </c>
      <c r="F6" s="2" t="inlineStr">
        <is>
          <t>0</t>
        </is>
      </c>
      <c r="G6" s="2" t="inlineStr">
        <is>
          <t>1</t>
        </is>
      </c>
      <c r="H6" s="2" t="inlineStr">
        <is>
          <t>3</t>
        </is>
      </c>
      <c r="I6" s="2" t="inlineStr">
        <is>
          <t>5</t>
        </is>
      </c>
      <c r="J6" s="2" t="inlineStr">
        <is>
          <t>6</t>
        </is>
      </c>
      <c r="K6" s="2" t="inlineStr">
        <is>
          <t>8</t>
        </is>
      </c>
    </row>
    <row r="7">
      <c r="A7" s="4" t="inlineStr">
        <is>
          <t>Requirements Coverage</t>
        </is>
      </c>
      <c r="B7" s="4" t="inlineStr">
        <is>
          <t>95%</t>
        </is>
      </c>
      <c r="C7" s="4" t="inlineStr">
        <is>
          <t>84%</t>
        </is>
      </c>
      <c r="D7" s="3" t="inlineStr">
        <is>
          <t>AMBER</t>
        </is>
      </c>
      <c r="E7" s="4" t="inlineStr">
        <is>
          <t>+10%</t>
        </is>
      </c>
      <c r="F7" s="4" t="inlineStr">
        <is>
          <t>15%</t>
        </is>
      </c>
      <c r="G7" s="4" t="inlineStr">
        <is>
          <t>32%</t>
        </is>
      </c>
      <c r="H7" s="4" t="inlineStr">
        <is>
          <t>48%</t>
        </is>
      </c>
      <c r="I7" s="4" t="inlineStr">
        <is>
          <t>62%</t>
        </is>
      </c>
      <c r="J7" s="4" t="inlineStr">
        <is>
          <t>74%</t>
        </is>
      </c>
      <c r="K7" s="4" t="inlineStr">
        <is>
          <t>84%</t>
        </is>
      </c>
    </row>
    <row r="8">
      <c r="A8" s="2" t="inlineStr">
        <is>
          <t>Risk Coverage (Class A)</t>
        </is>
      </c>
      <c r="B8" s="2" t="inlineStr">
        <is>
          <t>90%</t>
        </is>
      </c>
      <c r="C8" s="2" t="inlineStr">
        <is>
          <t>92%</t>
        </is>
      </c>
      <c r="D8" s="5" t="inlineStr">
        <is>
          <t>GREEN</t>
        </is>
      </c>
      <c r="E8" s="2" t="inlineStr">
        <is>
          <t>+5%</t>
        </is>
      </c>
      <c r="F8" s="2" t="inlineStr">
        <is>
          <t>20%</t>
        </is>
      </c>
      <c r="G8" s="2" t="inlineStr">
        <is>
          <t>40%</t>
        </is>
      </c>
      <c r="H8" s="2" t="inlineStr">
        <is>
          <t>60%</t>
        </is>
      </c>
      <c r="I8" s="2" t="inlineStr">
        <is>
          <t>78%</t>
        </is>
      </c>
      <c r="J8" s="2" t="inlineStr">
        <is>
          <t>87%</t>
        </is>
      </c>
      <c r="K8" s="2" t="inlineStr">
        <is>
          <t>92%</t>
        </is>
      </c>
    </row>
    <row r="9">
      <c r="A9" s="4" t="inlineStr">
        <is>
          <t>Automation Rate</t>
        </is>
      </c>
      <c r="B9" s="4" t="inlineStr">
        <is>
          <t>60%</t>
        </is>
      </c>
      <c r="C9" s="4" t="inlineStr">
        <is>
          <t>42%</t>
        </is>
      </c>
      <c r="D9" s="3" t="inlineStr">
        <is>
          <t>AMBER</t>
        </is>
      </c>
      <c r="E9" s="4" t="inlineStr">
        <is>
          <t>+2%</t>
        </is>
      </c>
      <c r="F9" s="4" t="inlineStr">
        <is>
          <t>12%</t>
        </is>
      </c>
      <c r="G9" s="4" t="inlineStr">
        <is>
          <t>22%</t>
        </is>
      </c>
      <c r="H9" s="4" t="inlineStr">
        <is>
          <t>30%</t>
        </is>
      </c>
      <c r="I9" s="4" t="inlineStr">
        <is>
          <t>36%</t>
        </is>
      </c>
      <c r="J9" s="4" t="inlineStr">
        <is>
          <t>40%</t>
        </is>
      </c>
      <c r="K9" s="4" t="inlineStr">
        <is>
          <t>42%</t>
        </is>
      </c>
    </row>
    <row r="10">
      <c r="A10" s="2" t="inlineStr">
        <is>
          <t>Environment Availability</t>
        </is>
      </c>
      <c r="B10" s="2" t="inlineStr">
        <is>
          <t>95%</t>
        </is>
      </c>
      <c r="C10" s="2" t="inlineStr">
        <is>
          <t>97%</t>
        </is>
      </c>
      <c r="D10" s="5" t="inlineStr">
        <is>
          <t>GREEN</t>
        </is>
      </c>
      <c r="E10" s="2" t="inlineStr">
        <is>
          <t>0%</t>
        </is>
      </c>
      <c r="F10" s="2" t="inlineStr">
        <is>
          <t>92%</t>
        </is>
      </c>
      <c r="G10" s="2" t="inlineStr">
        <is>
          <t>94%</t>
        </is>
      </c>
      <c r="H10" s="2" t="inlineStr">
        <is>
          <t>88%</t>
        </is>
      </c>
      <c r="I10" s="2" t="inlineStr">
        <is>
          <t>95%</t>
        </is>
      </c>
      <c r="J10" s="2" t="inlineStr">
        <is>
          <t>96%</t>
        </is>
      </c>
      <c r="K10" s="2" t="inlineStr">
        <is>
          <t>97%</t>
        </is>
      </c>
    </row>
    <row r="11">
      <c r="A11" s="4" t="inlineStr">
        <is>
          <t>Schedule Adherence</t>
        </is>
      </c>
      <c r="B11" s="4" t="inlineStr">
        <is>
          <t>90%</t>
        </is>
      </c>
      <c r="C11" s="4" t="inlineStr">
        <is>
          <t>82%</t>
        </is>
      </c>
      <c r="D11" s="3" t="inlineStr">
        <is>
          <t>AMBER</t>
        </is>
      </c>
      <c r="E11" s="4" t="inlineStr">
        <is>
          <t>+3%</t>
        </is>
      </c>
      <c r="F11" s="4" t="inlineStr">
        <is>
          <t>95%</t>
        </is>
      </c>
      <c r="G11" s="4" t="inlineStr">
        <is>
          <t>90%</t>
        </is>
      </c>
      <c r="H11" s="4" t="inlineStr">
        <is>
          <t>78%</t>
        </is>
      </c>
      <c r="I11" s="4" t="inlineStr">
        <is>
          <t>75%</t>
        </is>
      </c>
      <c r="J11" s="4" t="inlineStr">
        <is>
          <t>79%</t>
        </is>
      </c>
      <c r="K11" s="4" t="inlineStr">
        <is>
          <t>82%</t>
        </is>
      </c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Test Level</t>
        </is>
      </c>
      <c r="B1" s="1" t="inlineStr">
        <is>
          <t>Planned</t>
        </is>
      </c>
      <c r="C1" s="1" t="inlineStr">
        <is>
          <t>Executed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Blocked</t>
        </is>
      </c>
      <c r="G1" s="1" t="inlineStr">
        <is>
          <t>Exec%</t>
        </is>
      </c>
      <c r="H1" s="1" t="inlineStr">
        <is>
          <t>Pass%</t>
        </is>
      </c>
    </row>
    <row r="2">
      <c r="A2" s="7" t="inlineStr">
        <is>
          <t>Unit</t>
        </is>
      </c>
      <c r="B2" s="7" t="n">
        <v>1200</v>
      </c>
      <c r="C2" s="7" t="n">
        <v>1200</v>
      </c>
      <c r="D2" s="7" t="n">
        <v>1152</v>
      </c>
      <c r="E2" s="7" t="n">
        <v>36</v>
      </c>
      <c r="F2" s="7" t="n">
        <v>12</v>
      </c>
      <c r="G2" s="7" t="inlineStr">
        <is>
          <t>100%</t>
        </is>
      </c>
      <c r="H2" s="7" t="inlineStr">
        <is>
          <t>96%</t>
        </is>
      </c>
    </row>
    <row r="3">
      <c r="A3" s="8" t="inlineStr">
        <is>
          <t>Component</t>
        </is>
      </c>
      <c r="B3" s="8" t="n">
        <v>800</v>
      </c>
      <c r="C3" s="8" t="n">
        <v>760</v>
      </c>
      <c r="D3" s="8" t="n">
        <v>700</v>
      </c>
      <c r="E3" s="8" t="n">
        <v>45</v>
      </c>
      <c r="F3" s="8" t="n">
        <v>15</v>
      </c>
      <c r="G3" s="8" t="inlineStr">
        <is>
          <t>95%</t>
        </is>
      </c>
      <c r="H3" s="8" t="inlineStr">
        <is>
          <t>92%</t>
        </is>
      </c>
    </row>
    <row r="4">
      <c r="A4" s="7" t="inlineStr">
        <is>
          <t>Integration</t>
        </is>
      </c>
      <c r="B4" s="7" t="n">
        <v>950</v>
      </c>
      <c r="C4" s="7" t="n">
        <v>820</v>
      </c>
      <c r="D4" s="7" t="n">
        <v>722</v>
      </c>
      <c r="E4" s="7" t="n">
        <v>74</v>
      </c>
      <c r="F4" s="7" t="n">
        <v>24</v>
      </c>
      <c r="G4" s="7" t="inlineStr">
        <is>
          <t>86%</t>
        </is>
      </c>
      <c r="H4" s="7" t="inlineStr">
        <is>
          <t>88%</t>
        </is>
      </c>
    </row>
    <row r="5">
      <c r="A5" s="8" t="inlineStr">
        <is>
          <t>System</t>
        </is>
      </c>
      <c r="B5" s="8" t="n">
        <v>1500</v>
      </c>
      <c r="C5" s="8" t="n">
        <v>910</v>
      </c>
      <c r="D5" s="8" t="n">
        <v>773</v>
      </c>
      <c r="E5" s="8" t="n">
        <v>96</v>
      </c>
      <c r="F5" s="8" t="n">
        <v>41</v>
      </c>
      <c r="G5" s="8" t="inlineStr">
        <is>
          <t>61%</t>
        </is>
      </c>
      <c r="H5" s="8" t="inlineStr">
        <is>
          <t>85%</t>
        </is>
      </c>
    </row>
    <row r="6">
      <c r="A6" s="7" t="inlineStr">
        <is>
          <t>SIT</t>
        </is>
      </c>
      <c r="B6" s="7" t="n">
        <v>600</v>
      </c>
      <c r="C6" s="7" t="n">
        <v>300</v>
      </c>
      <c r="D6" s="7" t="n">
        <v>252</v>
      </c>
      <c r="E6" s="7" t="n">
        <v>27</v>
      </c>
      <c r="F6" s="7" t="n">
        <v>21</v>
      </c>
      <c r="G6" s="7" t="inlineStr">
        <is>
          <t>50%</t>
        </is>
      </c>
      <c r="H6" s="7" t="inlineStr">
        <is>
          <t>84%</t>
        </is>
      </c>
    </row>
    <row r="7">
      <c r="A7" s="8" t="inlineStr">
        <is>
          <t>UAT</t>
        </is>
      </c>
      <c r="B7" s="8" t="n">
        <v>400</v>
      </c>
      <c r="C7" s="8" t="n">
        <v>100</v>
      </c>
      <c r="D7" s="8" t="n">
        <v>82</v>
      </c>
      <c r="E7" s="8" t="n">
        <v>8</v>
      </c>
      <c r="F7" s="8" t="n">
        <v>10</v>
      </c>
      <c r="G7" s="8" t="inlineStr">
        <is>
          <t>25%</t>
        </is>
      </c>
      <c r="H7" s="8" t="inlineStr">
        <is>
          <t>82%</t>
        </is>
      </c>
    </row>
    <row r="8">
      <c r="A8" s="9" t="inlineStr">
        <is>
          <t>TOTAL</t>
        </is>
      </c>
      <c r="B8" s="9">
        <f>SUM(B2:B7)</f>
        <v/>
      </c>
      <c r="C8" s="9">
        <f>SUM(C2:C7)</f>
        <v/>
      </c>
      <c r="D8" s="9">
        <f>SUM(D2:D7)</f>
        <v/>
      </c>
      <c r="E8" s="9">
        <f>SUM(E2:E7)</f>
        <v/>
      </c>
      <c r="F8" s="9">
        <f>SUM(F2:F7)</f>
        <v/>
      </c>
      <c r="G8" s="9">
        <f>C8/B8</f>
        <v/>
      </c>
      <c r="H8" s="9">
        <f>D8/D8+E8</f>
        <v/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Test Type</t>
        </is>
      </c>
      <c r="B1" s="1" t="inlineStr">
        <is>
          <t>Planned</t>
        </is>
      </c>
      <c r="C1" s="1" t="inlineStr">
        <is>
          <t>Executed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Blocked</t>
        </is>
      </c>
      <c r="G1" s="1" t="inlineStr">
        <is>
          <t>Exec%</t>
        </is>
      </c>
      <c r="H1" s="1" t="inlineStr">
        <is>
          <t>Pass%</t>
        </is>
      </c>
    </row>
    <row r="2">
      <c r="A2" s="7" t="inlineStr">
        <is>
          <t>Functional</t>
        </is>
      </c>
      <c r="B2" s="7" t="n">
        <v>2800</v>
      </c>
      <c r="C2" s="7" t="n">
        <v>2240</v>
      </c>
      <c r="D2" s="7" t="n">
        <v>2061</v>
      </c>
      <c r="E2" s="7" t="n">
        <v>134</v>
      </c>
      <c r="F2" s="7" t="n">
        <v>45</v>
      </c>
      <c r="G2" s="10">
        <f>C2/B2</f>
        <v/>
      </c>
      <c r="H2" s="10">
        <f>D2/(D2+E2)</f>
        <v/>
      </c>
    </row>
    <row r="3">
      <c r="A3" s="8" t="inlineStr">
        <is>
          <t>Performance</t>
        </is>
      </c>
      <c r="B3" s="8" t="n">
        <v>650</v>
      </c>
      <c r="C3" s="8" t="n">
        <v>455</v>
      </c>
      <c r="D3" s="8" t="n">
        <v>387</v>
      </c>
      <c r="E3" s="8" t="n">
        <v>50</v>
      </c>
      <c r="F3" s="8" t="n">
        <v>18</v>
      </c>
      <c r="G3" s="11">
        <f>C3/B3</f>
        <v/>
      </c>
      <c r="H3" s="11">
        <f>D3/(D3+E3)</f>
        <v/>
      </c>
    </row>
    <row r="4">
      <c r="A4" s="7" t="inlineStr">
        <is>
          <t>Security</t>
        </is>
      </c>
      <c r="B4" s="7" t="n">
        <v>500</v>
      </c>
      <c r="C4" s="7" t="n">
        <v>400</v>
      </c>
      <c r="D4" s="7" t="n">
        <v>368</v>
      </c>
      <c r="E4" s="7" t="n">
        <v>24</v>
      </c>
      <c r="F4" s="7" t="n">
        <v>8</v>
      </c>
      <c r="G4" s="10">
        <f>C4/B4</f>
        <v/>
      </c>
      <c r="H4" s="10">
        <f>D4/(D4+E4)</f>
        <v/>
      </c>
    </row>
    <row r="5">
      <c r="A5" s="8" t="inlineStr">
        <is>
          <t>Regression</t>
        </is>
      </c>
      <c r="B5" s="8" t="n">
        <v>1000</v>
      </c>
      <c r="C5" s="8" t="n">
        <v>750</v>
      </c>
      <c r="D5" s="8" t="n">
        <v>698</v>
      </c>
      <c r="E5" s="8" t="n">
        <v>37</v>
      </c>
      <c r="F5" s="8" t="n">
        <v>15</v>
      </c>
      <c r="G5" s="11">
        <f>C5/B5</f>
        <v/>
      </c>
      <c r="H5" s="11">
        <f>D5/(D5+E5)</f>
        <v/>
      </c>
    </row>
    <row r="6">
      <c r="A6" s="7" t="inlineStr">
        <is>
          <t>Smoke</t>
        </is>
      </c>
      <c r="B6" s="7" t="n">
        <v>500</v>
      </c>
      <c r="C6" s="7" t="n">
        <v>245</v>
      </c>
      <c r="D6" s="7" t="n">
        <v>167</v>
      </c>
      <c r="E6" s="7" t="n">
        <v>41</v>
      </c>
      <c r="F6" s="7" t="n">
        <v>37</v>
      </c>
      <c r="G6" s="10">
        <f>C6/B6</f>
        <v/>
      </c>
      <c r="H6" s="10">
        <f>D6/(D6+E6)</f>
        <v/>
      </c>
    </row>
    <row r="7">
      <c r="A7" s="9" t="inlineStr">
        <is>
          <t>TOTAL</t>
        </is>
      </c>
      <c r="B7" s="9">
        <f>SUM(B2:B6)</f>
        <v/>
      </c>
      <c r="C7" s="9">
        <f>SUM(C2:C6)</f>
        <v/>
      </c>
      <c r="D7" s="9">
        <f>SUM(D2:D6)</f>
        <v/>
      </c>
      <c r="E7" s="9">
        <f>SUM(E2:E6)</f>
        <v/>
      </c>
      <c r="F7" s="9">
        <f>SUM(F2:F6)</f>
        <v/>
      </c>
      <c r="G7" s="12">
        <f>C7/B7</f>
        <v/>
      </c>
      <c r="H7" s="12">
        <f>D7/(D7+E7)</f>
        <v/>
      </c>
    </row>
  </sheetData>
  <autoFilter ref="A1:H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Priority</t>
        </is>
      </c>
      <c r="B1" s="1" t="inlineStr">
        <is>
          <t>Planned</t>
        </is>
      </c>
      <c r="C1" s="1" t="inlineStr">
        <is>
          <t>Executed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Blocked</t>
        </is>
      </c>
      <c r="G1" s="1" t="inlineStr">
        <is>
          <t>Exec%</t>
        </is>
      </c>
      <c r="H1" s="1" t="inlineStr">
        <is>
          <t>Pass%</t>
        </is>
      </c>
    </row>
    <row r="2">
      <c r="A2" s="7" t="inlineStr">
        <is>
          <t>Critical</t>
        </is>
      </c>
      <c r="B2" s="7" t="n">
        <v>820</v>
      </c>
      <c r="C2" s="7" t="n">
        <v>738</v>
      </c>
      <c r="D2" s="7" t="n">
        <v>672</v>
      </c>
      <c r="E2" s="7" t="n">
        <v>48</v>
      </c>
      <c r="F2" s="7" t="n">
        <v>18</v>
      </c>
      <c r="G2" s="10">
        <f>C2/B2</f>
        <v/>
      </c>
      <c r="H2" s="10">
        <f>D2/(D2+E2)</f>
        <v/>
      </c>
    </row>
    <row r="3">
      <c r="A3" s="8" t="inlineStr">
        <is>
          <t>High</t>
        </is>
      </c>
      <c r="B3" s="8" t="n">
        <v>1630</v>
      </c>
      <c r="C3" s="8" t="n">
        <v>1304</v>
      </c>
      <c r="D3" s="8" t="n">
        <v>1187</v>
      </c>
      <c r="E3" s="8" t="n">
        <v>82</v>
      </c>
      <c r="F3" s="8" t="n">
        <v>35</v>
      </c>
      <c r="G3" s="11">
        <f>C3/B3</f>
        <v/>
      </c>
      <c r="H3" s="11">
        <f>D3/(D3+E3)</f>
        <v/>
      </c>
    </row>
    <row r="4">
      <c r="A4" s="7" t="inlineStr">
        <is>
          <t>Medium</t>
        </is>
      </c>
      <c r="B4" s="7" t="n">
        <v>2000</v>
      </c>
      <c r="C4" s="7" t="n">
        <v>1400</v>
      </c>
      <c r="D4" s="7" t="n">
        <v>1274</v>
      </c>
      <c r="E4" s="7" t="n">
        <v>98</v>
      </c>
      <c r="F4" s="7" t="n">
        <v>28</v>
      </c>
      <c r="G4" s="10">
        <f>C4/B4</f>
        <v/>
      </c>
      <c r="H4" s="10">
        <f>D4/(D4+E4)</f>
        <v/>
      </c>
    </row>
    <row r="5">
      <c r="A5" s="8" t="inlineStr">
        <is>
          <t>Low</t>
        </is>
      </c>
      <c r="B5" s="8" t="n">
        <v>1000</v>
      </c>
      <c r="C5" s="8" t="n">
        <v>648</v>
      </c>
      <c r="D5" s="8" t="n">
        <v>548</v>
      </c>
      <c r="E5" s="8" t="n">
        <v>58</v>
      </c>
      <c r="F5" s="8" t="n">
        <v>42</v>
      </c>
      <c r="G5" s="11">
        <f>C5/B5</f>
        <v/>
      </c>
      <c r="H5" s="11">
        <f>D5/(D5+E5)</f>
        <v/>
      </c>
    </row>
    <row r="6">
      <c r="A6" s="9" t="inlineStr">
        <is>
          <t>TOTAL</t>
        </is>
      </c>
      <c r="B6" s="9">
        <f>SUM(B2:B5)</f>
        <v/>
      </c>
      <c r="C6" s="9">
        <f>SUM(C2:C5)</f>
        <v/>
      </c>
      <c r="D6" s="9">
        <f>SUM(D2:D5)</f>
        <v/>
      </c>
      <c r="E6" s="9">
        <f>SUM(E2:E5)</f>
        <v/>
      </c>
      <c r="F6" s="9">
        <f>SUM(F2:F5)</f>
        <v/>
      </c>
      <c r="G6" s="12">
        <f>C6/B6</f>
        <v/>
      </c>
      <c r="H6" s="12">
        <f>D6/(D6+E6)</f>
        <v/>
      </c>
    </row>
  </sheetData>
  <autoFilter ref="A1:H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5" customWidth="1" min="4" max="4"/>
    <col width="12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Severity</t>
        </is>
      </c>
      <c r="B1" s="1" t="inlineStr">
        <is>
          <t>New</t>
        </is>
      </c>
      <c r="C1" s="1" t="inlineStr">
        <is>
          <t>Open</t>
        </is>
      </c>
      <c r="D1" s="1" t="inlineStr">
        <is>
          <t>In Progress</t>
        </is>
      </c>
      <c r="E1" s="1" t="inlineStr">
        <is>
          <t>Resolved</t>
        </is>
      </c>
      <c r="F1" s="1" t="inlineStr">
        <is>
          <t>Closed</t>
        </is>
      </c>
      <c r="G1" s="1" t="inlineStr">
        <is>
          <t>Reopened</t>
        </is>
      </c>
      <c r="H1" s="1" t="inlineStr">
        <is>
          <t>Total</t>
        </is>
      </c>
    </row>
    <row r="2">
      <c r="A2" s="7" t="inlineStr">
        <is>
          <t>Critical</t>
        </is>
      </c>
      <c r="B2" s="7" t="n">
        <v>1</v>
      </c>
      <c r="C2" s="7" t="n">
        <v>3</v>
      </c>
      <c r="D2" s="7" t="n">
        <v>2</v>
      </c>
      <c r="E2" s="7" t="n">
        <v>1</v>
      </c>
      <c r="F2" s="7" t="n">
        <v>1</v>
      </c>
      <c r="G2" s="7" t="n">
        <v>0</v>
      </c>
      <c r="H2" s="7">
        <f>SUM(B2:G2)</f>
        <v/>
      </c>
    </row>
    <row r="3">
      <c r="A3" s="8" t="inlineStr">
        <is>
          <t>Major</t>
        </is>
      </c>
      <c r="B3" s="8" t="n">
        <v>2</v>
      </c>
      <c r="C3" s="8" t="n">
        <v>4</v>
      </c>
      <c r="D3" s="8" t="n">
        <v>3</v>
      </c>
      <c r="E3" s="8" t="n">
        <v>3</v>
      </c>
      <c r="F3" s="8" t="n">
        <v>2</v>
      </c>
      <c r="G3" s="8" t="n">
        <v>1</v>
      </c>
      <c r="H3" s="8">
        <f>SUM(B3:G3)</f>
        <v/>
      </c>
    </row>
    <row r="4">
      <c r="A4" s="7" t="inlineStr">
        <is>
          <t>Minor</t>
        </is>
      </c>
      <c r="B4" s="7" t="n">
        <v>1</v>
      </c>
      <c r="C4" s="7" t="n">
        <v>3</v>
      </c>
      <c r="D4" s="7" t="n">
        <v>2</v>
      </c>
      <c r="E4" s="7" t="n">
        <v>5</v>
      </c>
      <c r="F4" s="7" t="n">
        <v>6</v>
      </c>
      <c r="G4" s="7" t="n">
        <v>1</v>
      </c>
      <c r="H4" s="7">
        <f>SUM(B4:G4)</f>
        <v/>
      </c>
    </row>
    <row r="5">
      <c r="A5" s="8" t="inlineStr">
        <is>
          <t>Trivial</t>
        </is>
      </c>
      <c r="B5" s="8" t="n">
        <v>0</v>
      </c>
      <c r="C5" s="8" t="n">
        <v>2</v>
      </c>
      <c r="D5" s="8" t="n">
        <v>0</v>
      </c>
      <c r="E5" s="8" t="n">
        <v>1</v>
      </c>
      <c r="F5" s="8" t="n">
        <v>3</v>
      </c>
      <c r="G5" s="8" t="n">
        <v>0</v>
      </c>
      <c r="H5" s="8">
        <f>SUM(B5:G5)</f>
        <v/>
      </c>
    </row>
    <row r="6">
      <c r="A6" s="9" t="inlineStr">
        <is>
          <t>TOTAL</t>
        </is>
      </c>
      <c r="B6" s="9">
        <f>SUM(B2:B5)</f>
        <v/>
      </c>
      <c r="C6" s="9">
        <f>SUM(C2:C5)</f>
        <v/>
      </c>
      <c r="D6" s="9">
        <f>SUM(D2:D5)</f>
        <v/>
      </c>
      <c r="E6" s="9">
        <f>SUM(E2:E5)</f>
        <v/>
      </c>
      <c r="F6" s="9">
        <f>SUM(F2:F5)</f>
        <v/>
      </c>
      <c r="G6" s="9">
        <f>SUM(G2:G5)</f>
        <v/>
      </c>
      <c r="H6" s="9">
        <f>SUM(H2:H5)</f>
        <v/>
      </c>
    </row>
  </sheetData>
  <autoFilter ref="A1:H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2" customWidth="1" min="3" max="3"/>
    <col width="15" customWidth="1" min="4" max="4"/>
    <col width="10" customWidth="1" min="5" max="5"/>
    <col width="10" customWidth="1" min="6" max="6"/>
    <col width="10" customWidth="1" min="7" max="7"/>
    <col width="15" customWidth="1" min="8" max="8"/>
  </cols>
  <sheetData>
    <row r="1">
      <c r="A1" s="1" t="inlineStr">
        <is>
          <t>Rank</t>
        </is>
      </c>
      <c r="B1" s="1" t="inlineStr">
        <is>
          <t>Feature</t>
        </is>
      </c>
      <c r="C1" s="1" t="inlineStr">
        <is>
          <t>TCs Failed</t>
        </is>
      </c>
      <c r="D1" s="1" t="inlineStr">
        <is>
          <t>Total Defects</t>
        </is>
      </c>
      <c r="E1" s="1" t="inlineStr">
        <is>
          <t>Critical</t>
        </is>
      </c>
      <c r="F1" s="1" t="inlineStr">
        <is>
          <t>Major</t>
        </is>
      </c>
      <c r="G1" s="1" t="inlineStr">
        <is>
          <t>Minor</t>
        </is>
      </c>
      <c r="H1" s="1" t="inlineStr">
        <is>
          <t>Defect Density</t>
        </is>
      </c>
    </row>
    <row r="2">
      <c r="A2" s="7" t="n">
        <v>1</v>
      </c>
      <c r="B2" s="7" t="inlineStr">
        <is>
          <t>Payment Processing</t>
        </is>
      </c>
      <c r="C2" s="7" t="n">
        <v>42</v>
      </c>
      <c r="D2" s="7" t="n">
        <v>8</v>
      </c>
      <c r="E2" s="7" t="n">
        <v>3</v>
      </c>
      <c r="F2" s="7" t="n">
        <v>4</v>
      </c>
      <c r="G2" s="7" t="n">
        <v>1</v>
      </c>
      <c r="H2" s="7" t="inlineStr">
        <is>
          <t>0.38</t>
        </is>
      </c>
    </row>
    <row r="3">
      <c r="A3" s="8" t="n">
        <v>2</v>
      </c>
      <c r="B3" s="8" t="inlineStr">
        <is>
          <t>Checkout Process</t>
        </is>
      </c>
      <c r="C3" s="8" t="n">
        <v>38</v>
      </c>
      <c r="D3" s="8" t="n">
        <v>6</v>
      </c>
      <c r="E3" s="8" t="n">
        <v>2</v>
      </c>
      <c r="F3" s="8" t="n">
        <v>3</v>
      </c>
      <c r="G3" s="8" t="n">
        <v>1</v>
      </c>
      <c r="H3" s="8" t="inlineStr">
        <is>
          <t>0.16</t>
        </is>
      </c>
    </row>
    <row r="4">
      <c r="A4" s="7" t="n">
        <v>3</v>
      </c>
      <c r="B4" s="7" t="inlineStr">
        <is>
          <t>Order Management</t>
        </is>
      </c>
      <c r="C4" s="7" t="n">
        <v>28</v>
      </c>
      <c r="D4" s="7" t="n">
        <v>5</v>
      </c>
      <c r="E4" s="7" t="n">
        <v>1</v>
      </c>
      <c r="F4" s="7" t="n">
        <v>3</v>
      </c>
      <c r="G4" s="7" t="n">
        <v>1</v>
      </c>
      <c r="H4" s="7" t="inlineStr">
        <is>
          <t>0.18</t>
        </is>
      </c>
    </row>
    <row r="5">
      <c r="A5" s="8" t="n">
        <v>4</v>
      </c>
      <c r="B5" s="8" t="inlineStr">
        <is>
          <t>Security/Auth</t>
        </is>
      </c>
      <c r="C5" s="8" t="n">
        <v>24</v>
      </c>
      <c r="D5" s="8" t="n">
        <v>5</v>
      </c>
      <c r="E5" s="8" t="n">
        <v>1</v>
      </c>
      <c r="F5" s="8" t="n">
        <v>2</v>
      </c>
      <c r="G5" s="8" t="n">
        <v>2</v>
      </c>
      <c r="H5" s="8" t="inlineStr">
        <is>
          <t>0.21</t>
        </is>
      </c>
    </row>
    <row r="6">
      <c r="A6" s="7" t="n">
        <v>5</v>
      </c>
      <c r="B6" s="7" t="inlineStr">
        <is>
          <t>Shopping Cart</t>
        </is>
      </c>
      <c r="C6" s="7" t="n">
        <v>22</v>
      </c>
      <c r="D6" s="7" t="n">
        <v>4</v>
      </c>
      <c r="E6" s="7" t="n">
        <v>1</v>
      </c>
      <c r="F6" s="7" t="n">
        <v>2</v>
      </c>
      <c r="G6" s="7" t="n">
        <v>1</v>
      </c>
      <c r="H6" s="7" t="inlineStr">
        <is>
          <t>0.18</t>
        </is>
      </c>
    </row>
    <row r="7">
      <c r="A7" s="8" t="n">
        <v>6</v>
      </c>
      <c r="B7" s="8" t="inlineStr">
        <is>
          <t>Coupon/Discount</t>
        </is>
      </c>
      <c r="C7" s="8" t="n">
        <v>18</v>
      </c>
      <c r="D7" s="8" t="n">
        <v>4</v>
      </c>
      <c r="E7" s="8" t="n">
        <v>0</v>
      </c>
      <c r="F7" s="8" t="n">
        <v>2</v>
      </c>
      <c r="G7" s="8" t="n">
        <v>2</v>
      </c>
      <c r="H7" s="8" t="inlineStr">
        <is>
          <t>0.22</t>
        </is>
      </c>
    </row>
    <row r="8">
      <c r="A8" s="7" t="n">
        <v>7</v>
      </c>
      <c r="B8" s="7" t="inlineStr">
        <is>
          <t>Tax Calculation</t>
        </is>
      </c>
      <c r="C8" s="7" t="n">
        <v>16</v>
      </c>
      <c r="D8" s="7" t="n">
        <v>3</v>
      </c>
      <c r="E8" s="7" t="n">
        <v>0</v>
      </c>
      <c r="F8" s="7" t="n">
        <v>1</v>
      </c>
      <c r="G8" s="7" t="n">
        <v>2</v>
      </c>
      <c r="H8" s="7" t="inlineStr">
        <is>
          <t>0.19</t>
        </is>
      </c>
    </row>
    <row r="9">
      <c r="A9" s="8" t="n">
        <v>8</v>
      </c>
      <c r="B9" s="8" t="inlineStr">
        <is>
          <t>Shipping &amp; Delivery</t>
        </is>
      </c>
      <c r="C9" s="8" t="n">
        <v>14</v>
      </c>
      <c r="D9" s="8" t="n">
        <v>3</v>
      </c>
      <c r="E9" s="8" t="n">
        <v>0</v>
      </c>
      <c r="F9" s="8" t="n">
        <v>1</v>
      </c>
      <c r="G9" s="8" t="n">
        <v>2</v>
      </c>
      <c r="H9" s="8" t="inlineStr">
        <is>
          <t>0.21</t>
        </is>
      </c>
    </row>
    <row r="10">
      <c r="A10" s="7" t="n">
        <v>9</v>
      </c>
      <c r="B10" s="7" t="inlineStr">
        <is>
          <t>Inventory Management</t>
        </is>
      </c>
      <c r="C10" s="7" t="n">
        <v>12</v>
      </c>
      <c r="D10" s="7" t="n">
        <v>2</v>
      </c>
      <c r="E10" s="7" t="n">
        <v>0</v>
      </c>
      <c r="F10" s="7" t="n">
        <v>1</v>
      </c>
      <c r="G10" s="7" t="n">
        <v>1</v>
      </c>
      <c r="H10" s="7" t="inlineStr">
        <is>
          <t>0.17</t>
        </is>
      </c>
    </row>
    <row r="11">
      <c r="A11" s="8" t="n">
        <v>10</v>
      </c>
      <c r="B11" s="8" t="inlineStr">
        <is>
          <t>Search &amp; Navigation</t>
        </is>
      </c>
      <c r="C11" s="8" t="n">
        <v>10</v>
      </c>
      <c r="D11" s="8" t="n">
        <v>2</v>
      </c>
      <c r="E11" s="8" t="n">
        <v>0</v>
      </c>
      <c r="F11" s="8" t="n">
        <v>0</v>
      </c>
      <c r="G11" s="8" t="n">
        <v>2</v>
      </c>
      <c r="H11" s="8" t="inlineStr">
        <is>
          <t>0.20</t>
        </is>
      </c>
    </row>
  </sheetData>
  <autoFilter ref="A1:H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0" customWidth="1" min="3" max="3"/>
    <col width="30" customWidth="1" min="4" max="4"/>
    <col width="20" customWidth="1" min="5" max="5"/>
    <col width="30" customWidth="1" min="6" max="6"/>
  </cols>
  <sheetData>
    <row r="1" ht="30" customHeight="1">
      <c r="A1" s="1" t="inlineStr">
        <is>
          <t>Quality Characteristic</t>
        </is>
      </c>
      <c r="B1" s="1" t="inlineStr">
        <is>
          <t>Status</t>
        </is>
      </c>
      <c r="C1" s="1" t="inlineStr">
        <is>
          <t>Score</t>
        </is>
      </c>
      <c r="D1" s="1" t="inlineStr">
        <is>
          <t>Evidence</t>
        </is>
      </c>
      <c r="E1" s="1" t="inlineStr">
        <is>
          <t>Gaps</t>
        </is>
      </c>
      <c r="F1" s="1" t="inlineStr">
        <is>
          <t>Recommendation</t>
        </is>
      </c>
    </row>
    <row r="2" ht="45" customHeight="1">
      <c r="A2" s="13" t="inlineStr">
        <is>
          <t>Functional Suitability</t>
        </is>
      </c>
      <c r="B2" s="13" t="inlineStr">
        <is>
          <t>AMBER</t>
        </is>
      </c>
      <c r="C2" s="13" t="inlineStr">
        <is>
          <t>84</t>
        </is>
      </c>
      <c r="D2" s="13" t="inlineStr">
        <is>
          <t>286 failures under investigation</t>
        </is>
      </c>
      <c r="E2" s="13" t="inlineStr">
        <is>
          <t>Partial feature coverage</t>
        </is>
      </c>
      <c r="F2" s="13" t="inlineStr">
        <is>
          <t>Complete remaining features</t>
        </is>
      </c>
    </row>
    <row r="3" ht="45" customHeight="1">
      <c r="A3" s="14" t="inlineStr">
        <is>
          <t>Performance Efficiency</t>
        </is>
      </c>
      <c r="B3" s="13" t="inlineStr">
        <is>
          <t>AMBER</t>
        </is>
      </c>
      <c r="C3" s="14" t="inlineStr">
        <is>
          <t>N/A</t>
        </is>
      </c>
      <c r="D3" s="14" t="inlineStr">
        <is>
          <t>Page load: 2100ms vs 2000ms target</t>
        </is>
      </c>
      <c r="E3" s="14" t="inlineStr">
        <is>
          <t>API response 10% below target</t>
        </is>
      </c>
      <c r="F3" s="14" t="inlineStr">
        <is>
          <t>Optimize DB queries</t>
        </is>
      </c>
    </row>
    <row r="4" ht="45" customHeight="1">
      <c r="A4" s="13" t="inlineStr">
        <is>
          <t>Compatibility</t>
        </is>
      </c>
      <c r="B4" s="13" t="inlineStr">
        <is>
          <t>GREEN</t>
        </is>
      </c>
      <c r="C4" s="13" t="inlineStr">
        <is>
          <t>100</t>
        </is>
      </c>
      <c r="D4" s="13" t="inlineStr">
        <is>
          <t>Chrome, Firefox, Edge, Safari, iOS, Android tested</t>
        </is>
      </c>
      <c r="E4" s="13" t="inlineStr">
        <is>
          <t>None</t>
        </is>
      </c>
      <c r="F4" s="13" t="inlineStr">
        <is>
          <t>Maintain current browser matrix</t>
        </is>
      </c>
    </row>
    <row r="5" ht="45" customHeight="1">
      <c r="A5" s="14" t="inlineStr">
        <is>
          <t>Usability</t>
        </is>
      </c>
      <c r="B5" s="13" t="inlineStr">
        <is>
          <t>AMBER</t>
        </is>
      </c>
      <c r="C5" s="14" t="inlineStr">
        <is>
          <t>N/A</t>
        </is>
      </c>
      <c r="D5" s="14" t="inlineStr">
        <is>
          <t>UAT 25% complete, 3 issues logged</t>
        </is>
      </c>
      <c r="E5" s="14" t="inlineStr">
        <is>
          <t>Cart and checkout UX incomplete</t>
        </is>
      </c>
      <c r="F5" s="14" t="inlineStr">
        <is>
          <t>Complete UAT with user feedback</t>
        </is>
      </c>
    </row>
    <row r="6" ht="45" customHeight="1">
      <c r="A6" s="13" t="inlineStr">
        <is>
          <t>Reliability</t>
        </is>
      </c>
      <c r="B6" s="13" t="inlineStr">
        <is>
          <t>AMBER</t>
        </is>
      </c>
      <c r="C6" s="13" t="inlineStr">
        <is>
          <t>N/A</t>
        </is>
      </c>
      <c r="D6" s="13" t="inlineStr">
        <is>
          <t>MTBF: 72hrs vs 100hrs target</t>
        </is>
      </c>
      <c r="E6" s="13" t="inlineStr">
        <is>
          <t>Recovery procedure needs testing</t>
        </is>
      </c>
      <c r="F6" s="13" t="inlineStr">
        <is>
          <t>Increase test coverage for edge cases</t>
        </is>
      </c>
    </row>
    <row r="7" ht="45" customHeight="1">
      <c r="A7" s="14" t="inlineStr">
        <is>
          <t>Security</t>
        </is>
      </c>
      <c r="B7" s="13" t="inlineStr">
        <is>
          <t>AMBER</t>
        </is>
      </c>
      <c r="C7" s="14" t="inlineStr">
        <is>
          <t>N/A</t>
        </is>
      </c>
      <c r="D7" s="14" t="inlineStr">
        <is>
          <t>OWASP 9/10 passed, PCI-DSS 10/12</t>
        </is>
      </c>
      <c r="E7" s="14" t="inlineStr">
        <is>
          <t>1 XSS vulnerability pending</t>
        </is>
      </c>
      <c r="F7" s="14" t="inlineStr">
        <is>
          <t>Complete XSS remediation and retesting</t>
        </is>
      </c>
    </row>
    <row r="8" ht="45" customHeight="1">
      <c r="A8" s="13" t="inlineStr">
        <is>
          <t>Maintainability</t>
        </is>
      </c>
      <c r="B8" s="13" t="inlineStr">
        <is>
          <t>GREEN</t>
        </is>
      </c>
      <c r="C8" s="13" t="inlineStr">
        <is>
          <t>N/A</t>
        </is>
      </c>
      <c r="D8" s="13" t="inlineStr">
        <is>
          <t>78% code coverage, modularity 8.2/10</t>
        </is>
      </c>
      <c r="E8" s="13" t="inlineStr">
        <is>
          <t>None</t>
        </is>
      </c>
      <c r="F8" s="13" t="inlineStr">
        <is>
          <t>Maintain static analysis discipline</t>
        </is>
      </c>
    </row>
    <row r="9" ht="45" customHeight="1">
      <c r="A9" s="14" t="inlineStr">
        <is>
          <t>Portability</t>
        </is>
      </c>
      <c r="B9" s="13" t="inlineStr">
        <is>
          <t>GREEN</t>
        </is>
      </c>
      <c r="C9" s="14" t="inlineStr">
        <is>
          <t>100</t>
        </is>
      </c>
      <c r="D9" s="14" t="inlineStr">
        <is>
          <t>Docker verified, migration scripts tested</t>
        </is>
      </c>
      <c r="E9" s="14" t="inlineStr">
        <is>
          <t>None</t>
        </is>
      </c>
      <c r="F9" s="14" t="inlineStr">
        <is>
          <t>Validate cross-platform deployment</t>
        </is>
      </c>
    </row>
  </sheetData>
  <autoFilter ref="A1:F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5" customWidth="1" min="4" max="4"/>
    <col width="10" customWidth="1" min="5" max="5"/>
    <col width="25" customWidth="1" min="6" max="6"/>
    <col width="25" customWidth="1" min="7" max="7"/>
  </cols>
  <sheetData>
    <row r="1" ht="30" customHeight="1">
      <c r="A1" s="1" t="inlineStr">
        <is>
          <t>#</t>
        </is>
      </c>
      <c r="B1" s="1" t="inlineStr">
        <is>
          <t>Exit Criterion</t>
        </is>
      </c>
      <c r="C1" s="1" t="inlineStr">
        <is>
          <t>Target</t>
        </is>
      </c>
      <c r="D1" s="1" t="inlineStr">
        <is>
          <t>Actual</t>
        </is>
      </c>
      <c r="E1" s="1" t="inlineStr">
        <is>
          <t>Status</t>
        </is>
      </c>
      <c r="F1" s="1" t="inlineStr">
        <is>
          <t>Evidence</t>
        </is>
      </c>
      <c r="G1" s="1" t="inlineStr">
        <is>
          <t>Action Required</t>
        </is>
      </c>
    </row>
    <row r="2" ht="25" customHeight="1">
      <c r="A2" s="13" t="n">
        <v>1</v>
      </c>
      <c r="B2" s="13" t="inlineStr">
        <is>
          <t>Functional completeness</t>
        </is>
      </c>
      <c r="C2" s="13" t="inlineStr">
        <is>
          <t>100%</t>
        </is>
      </c>
      <c r="D2" s="13" t="inlineStr">
        <is>
          <t>100%</t>
        </is>
      </c>
      <c r="E2" s="15" t="inlineStr">
        <is>
          <t>PASS</t>
        </is>
      </c>
      <c r="F2" s="13" t="inlineStr">
        <is>
          <t>All core features implemented</t>
        </is>
      </c>
      <c r="G2" s="13" t="inlineStr">
        <is>
          <t>None</t>
        </is>
      </c>
    </row>
    <row r="3" ht="25" customHeight="1">
      <c r="A3" s="14" t="n">
        <v>2</v>
      </c>
      <c r="B3" s="14" t="inlineStr">
        <is>
          <t>Code coverage &gt;= 75%</t>
        </is>
      </c>
      <c r="C3" s="14" t="inlineStr">
        <is>
          <t>75%</t>
        </is>
      </c>
      <c r="D3" s="14" t="inlineStr">
        <is>
          <t>78%</t>
        </is>
      </c>
      <c r="E3" s="15" t="inlineStr">
        <is>
          <t>PASS</t>
        </is>
      </c>
      <c r="F3" s="14" t="inlineStr">
        <is>
          <t>Code coverage report verified</t>
        </is>
      </c>
      <c r="G3" s="14" t="inlineStr">
        <is>
          <t>None</t>
        </is>
      </c>
    </row>
    <row r="4" ht="25" customHeight="1">
      <c r="A4" s="13" t="n">
        <v>3</v>
      </c>
      <c r="B4" s="13" t="inlineStr">
        <is>
          <t>Documentation complete</t>
        </is>
      </c>
      <c r="C4" s="13" t="inlineStr">
        <is>
          <t>100%</t>
        </is>
      </c>
      <c r="D4" s="13" t="inlineStr">
        <is>
          <t>100%</t>
        </is>
      </c>
      <c r="E4" s="15" t="inlineStr">
        <is>
          <t>PASS</t>
        </is>
      </c>
      <c r="F4" s="13" t="inlineStr">
        <is>
          <t>User and admin guides published</t>
        </is>
      </c>
      <c r="G4" s="13" t="inlineStr">
        <is>
          <t>None</t>
        </is>
      </c>
    </row>
    <row r="5" ht="25" customHeight="1">
      <c r="A5" s="14" t="n">
        <v>4</v>
      </c>
      <c r="B5" s="14" t="inlineStr">
        <is>
          <t>Unit test automation</t>
        </is>
      </c>
      <c r="C5" s="14" t="inlineStr">
        <is>
          <t>80%</t>
        </is>
      </c>
      <c r="D5" s="14" t="inlineStr">
        <is>
          <t>96%</t>
        </is>
      </c>
      <c r="E5" s="15" t="inlineStr">
        <is>
          <t>PASS</t>
        </is>
      </c>
      <c r="F5" s="14" t="inlineStr">
        <is>
          <t>Unit test suite executed daily</t>
        </is>
      </c>
      <c r="G5" s="14" t="inlineStr">
        <is>
          <t>None</t>
        </is>
      </c>
    </row>
    <row r="6" ht="25" customHeight="1">
      <c r="A6" s="13" t="n">
        <v>5</v>
      </c>
      <c r="B6" s="13" t="inlineStr">
        <is>
          <t>Security scan passed</t>
        </is>
      </c>
      <c r="C6" s="13" t="inlineStr">
        <is>
          <t>Pass</t>
        </is>
      </c>
      <c r="D6" s="13" t="inlineStr">
        <is>
          <t>Pass</t>
        </is>
      </c>
      <c r="E6" s="15" t="inlineStr">
        <is>
          <t>PASS</t>
        </is>
      </c>
      <c r="F6" s="13" t="inlineStr">
        <is>
          <t>SAST scan: 0 critical issues</t>
        </is>
      </c>
      <c r="G6" s="13" t="inlineStr">
        <is>
          <t>None</t>
        </is>
      </c>
    </row>
    <row r="7" ht="25" customHeight="1">
      <c r="A7" s="14" t="n">
        <v>6</v>
      </c>
      <c r="B7" s="14" t="inlineStr">
        <is>
          <t>Critical defects resolved</t>
        </is>
      </c>
      <c r="C7" s="14" t="inlineStr">
        <is>
          <t>0</t>
        </is>
      </c>
      <c r="D7" s="14" t="inlineStr">
        <is>
          <t>8</t>
        </is>
      </c>
      <c r="E7" s="16" t="inlineStr">
        <is>
          <t>FAIL</t>
        </is>
      </c>
      <c r="F7" s="14" t="inlineStr">
        <is>
          <t>Escalated to dev team</t>
        </is>
      </c>
      <c r="G7" s="14" t="inlineStr">
        <is>
          <t>Resolve by Sprint 7</t>
        </is>
      </c>
    </row>
    <row r="8" ht="25" customHeight="1">
      <c r="A8" s="13" t="n">
        <v>7</v>
      </c>
      <c r="B8" s="13" t="inlineStr">
        <is>
          <t>Production environment ready</t>
        </is>
      </c>
      <c r="C8" s="13" t="inlineStr">
        <is>
          <t>Ready</t>
        </is>
      </c>
      <c r="D8" s="13" t="inlineStr">
        <is>
          <t>Ready</t>
        </is>
      </c>
      <c r="E8" s="15" t="inlineStr">
        <is>
          <t>PASS</t>
        </is>
      </c>
      <c r="F8" s="13" t="inlineStr">
        <is>
          <t>Environment provisioned and tested</t>
        </is>
      </c>
      <c r="G8" s="13" t="inlineStr">
        <is>
          <t>None</t>
        </is>
      </c>
    </row>
    <row r="9" ht="25" customHeight="1">
      <c r="A9" s="14" t="n">
        <v>8</v>
      </c>
      <c r="B9" s="14" t="inlineStr">
        <is>
          <t>Database migration validated</t>
        </is>
      </c>
      <c r="C9" s="14" t="inlineStr">
        <is>
          <t>Verified</t>
        </is>
      </c>
      <c r="D9" s="14" t="inlineStr">
        <is>
          <t>Verified</t>
        </is>
      </c>
      <c r="E9" s="15" t="inlineStr">
        <is>
          <t>PASS</t>
        </is>
      </c>
      <c r="F9" s="14" t="inlineStr">
        <is>
          <t>Migration scripts executed successfully</t>
        </is>
      </c>
      <c r="G9" s="14" t="inlineStr">
        <is>
          <t>None</t>
        </is>
      </c>
    </row>
    <row r="10" ht="25" customHeight="1">
      <c r="A10" s="13" t="n">
        <v>9</v>
      </c>
      <c r="B10" s="13" t="inlineStr">
        <is>
          <t>Performance baseline established</t>
        </is>
      </c>
      <c r="C10" s="13" t="inlineStr">
        <is>
          <t>Baseline</t>
        </is>
      </c>
      <c r="D10" s="13" t="inlineStr">
        <is>
          <t>Baseline</t>
        </is>
      </c>
      <c r="E10" s="15" t="inlineStr">
        <is>
          <t>PASS</t>
        </is>
      </c>
      <c r="F10" s="13" t="inlineStr">
        <is>
          <t>Load test results documented</t>
        </is>
      </c>
      <c r="G10" s="13" t="inlineStr">
        <is>
          <t>None</t>
        </is>
      </c>
    </row>
    <row r="11" ht="25" customHeight="1">
      <c r="A11" s="14" t="n">
        <v>10</v>
      </c>
      <c r="B11" s="14" t="inlineStr">
        <is>
          <t>Disaster recovery tested</t>
        </is>
      </c>
      <c r="C11" s="14" t="inlineStr">
        <is>
          <t>Tested</t>
        </is>
      </c>
      <c r="D11" s="14" t="inlineStr">
        <is>
          <t>Tested</t>
        </is>
      </c>
      <c r="E11" s="15" t="inlineStr">
        <is>
          <t>PASS</t>
        </is>
      </c>
      <c r="F11" s="14" t="inlineStr">
        <is>
          <t>DR procedures executed</t>
        </is>
      </c>
      <c r="G11" s="14" t="inlineStr">
        <is>
          <t>None</t>
        </is>
      </c>
    </row>
    <row r="12" ht="25" customHeight="1">
      <c r="A12" s="13" t="n">
        <v>11</v>
      </c>
      <c r="B12" s="13" t="inlineStr">
        <is>
          <t>Compliance audit passed</t>
        </is>
      </c>
      <c r="C12" s="13" t="inlineStr">
        <is>
          <t>Passed</t>
        </is>
      </c>
      <c r="D12" s="13" t="inlineStr">
        <is>
          <t>Passed</t>
        </is>
      </c>
      <c r="E12" s="15" t="inlineStr">
        <is>
          <t>PASS</t>
        </is>
      </c>
      <c r="F12" s="13" t="inlineStr">
        <is>
          <t>PCI-DSS compliance verified</t>
        </is>
      </c>
      <c r="G12" s="13" t="inlineStr">
        <is>
          <t>None</t>
        </is>
      </c>
    </row>
    <row r="13" ht="25" customHeight="1">
      <c r="A13" s="14" t="n">
        <v>12</v>
      </c>
      <c r="B13" s="14" t="inlineStr">
        <is>
          <t>Third-party integration tested</t>
        </is>
      </c>
      <c r="C13" s="14" t="inlineStr">
        <is>
          <t>100%</t>
        </is>
      </c>
      <c r="D13" s="14" t="inlineStr">
        <is>
          <t>100%</t>
        </is>
      </c>
      <c r="E13" s="15" t="inlineStr">
        <is>
          <t>PASS</t>
        </is>
      </c>
      <c r="F13" s="14" t="inlineStr">
        <is>
          <t>Payment gateway, shipping API verified</t>
        </is>
      </c>
      <c r="G13" s="14" t="inlineStr">
        <is>
          <t>None</t>
        </is>
      </c>
    </row>
    <row r="14" ht="25" customHeight="1">
      <c r="A14" s="13" t="n">
        <v>13</v>
      </c>
      <c r="B14" s="13" t="inlineStr">
        <is>
          <t>Mobile app regression passed</t>
        </is>
      </c>
      <c r="C14" s="13" t="inlineStr">
        <is>
          <t>100%</t>
        </is>
      </c>
      <c r="D14" s="13" t="inlineStr">
        <is>
          <t>100%</t>
        </is>
      </c>
      <c r="E14" s="15" t="inlineStr">
        <is>
          <t>PASS</t>
        </is>
      </c>
      <c r="F14" s="13" t="inlineStr">
        <is>
          <t>iOS and Android test suites completed</t>
        </is>
      </c>
      <c r="G14" s="13" t="inlineStr">
        <is>
          <t>None</t>
        </is>
      </c>
    </row>
    <row r="15" ht="25" customHeight="1">
      <c r="A15" s="14" t="n">
        <v>14</v>
      </c>
      <c r="B15" s="14" t="inlineStr">
        <is>
          <t>API load testing passed</t>
        </is>
      </c>
      <c r="C15" s="14" t="inlineStr">
        <is>
          <t>500 TPS</t>
        </is>
      </c>
      <c r="D15" s="14" t="inlineStr">
        <is>
          <t>450 TPS</t>
        </is>
      </c>
      <c r="E15" s="17" t="inlineStr">
        <is>
          <t>PARTIAL</t>
        </is>
      </c>
      <c r="F15" s="14" t="inlineStr">
        <is>
          <t>Load test at 90% target</t>
        </is>
      </c>
      <c r="G15" s="14" t="inlineStr">
        <is>
          <t>Optimization needed</t>
        </is>
      </c>
    </row>
    <row r="16" ht="25" customHeight="1">
      <c r="A16" s="13" t="n">
        <v>15</v>
      </c>
      <c r="B16" s="13" t="inlineStr">
        <is>
          <t>Inventory sync verified</t>
        </is>
      </c>
      <c r="C16" s="13" t="inlineStr">
        <is>
          <t>100%</t>
        </is>
      </c>
      <c r="D16" s="13" t="inlineStr">
        <is>
          <t>86%</t>
        </is>
      </c>
      <c r="E16" s="17" t="inlineStr">
        <is>
          <t>PARTIAL</t>
        </is>
      </c>
      <c r="F16" s="13" t="inlineStr">
        <is>
          <t>Integration tests 86% complete</t>
        </is>
      </c>
      <c r="G16" s="13" t="inlineStr">
        <is>
          <t>Complete race condition testing</t>
        </is>
      </c>
    </row>
    <row r="17" ht="25" customHeight="1">
      <c r="A17" s="14" t="n">
        <v>16</v>
      </c>
      <c r="B17" s="14" t="inlineStr">
        <is>
          <t>Customer data protection validated</t>
        </is>
      </c>
      <c r="C17" s="14" t="inlineStr">
        <is>
          <t>100%</t>
        </is>
      </c>
      <c r="D17" s="14" t="inlineStr">
        <is>
          <t>100%</t>
        </is>
      </c>
      <c r="E17" s="15" t="inlineStr">
        <is>
          <t>PASS</t>
        </is>
      </c>
      <c r="F17" s="14" t="inlineStr">
        <is>
          <t>GDPR compliance verified</t>
        </is>
      </c>
      <c r="G17" s="14" t="inlineStr">
        <is>
          <t>None</t>
        </is>
      </c>
    </row>
    <row r="18" ht="25" customHeight="1">
      <c r="A18" s="13" t="n">
        <v>17</v>
      </c>
      <c r="B18" s="13" t="inlineStr">
        <is>
          <t>Browser compatibility</t>
        </is>
      </c>
      <c r="C18" s="13" t="inlineStr">
        <is>
          <t>4 browsers</t>
        </is>
      </c>
      <c r="D18" s="13" t="inlineStr">
        <is>
          <t>4 browsers</t>
        </is>
      </c>
      <c r="E18" s="15" t="inlineStr">
        <is>
          <t>PASS</t>
        </is>
      </c>
      <c r="F18" s="13" t="inlineStr">
        <is>
          <t>Chrome, Firefox, Edge, Safari tested</t>
        </is>
      </c>
      <c r="G18" s="13" t="inlineStr">
        <is>
          <t>None</t>
        </is>
      </c>
    </row>
    <row r="19" ht="25" customHeight="1">
      <c r="A19" s="14" t="n">
        <v>18</v>
      </c>
      <c r="B19" s="14" t="inlineStr">
        <is>
          <t>Accessibility compliance</t>
        </is>
      </c>
      <c r="C19" s="14" t="inlineStr">
        <is>
          <t>WCAG 2.1 AA</t>
        </is>
      </c>
      <c r="D19" s="14" t="inlineStr">
        <is>
          <t>WCAG 2.1 AA</t>
        </is>
      </c>
      <c r="E19" s="15" t="inlineStr">
        <is>
          <t>PASS</t>
        </is>
      </c>
      <c r="F19" s="14" t="inlineStr">
        <is>
          <t>Accessibility audit passed</t>
        </is>
      </c>
      <c r="G19" s="14" t="inlineStr">
        <is>
          <t>None</t>
        </is>
      </c>
    </row>
    <row r="20" ht="25" customHeight="1">
      <c r="A20" s="13" t="n">
        <v>19</v>
      </c>
      <c r="B20" s="13" t="inlineStr">
        <is>
          <t>Email notification testing</t>
        </is>
      </c>
      <c r="C20" s="13" t="inlineStr">
        <is>
          <t>100%</t>
        </is>
      </c>
      <c r="D20" s="13" t="inlineStr">
        <is>
          <t>100%</t>
        </is>
      </c>
      <c r="E20" s="15" t="inlineStr">
        <is>
          <t>PASS</t>
        </is>
      </c>
      <c r="F20" s="13" t="inlineStr">
        <is>
          <t>All email templates verified</t>
        </is>
      </c>
      <c r="G20" s="13" t="inlineStr">
        <is>
          <t>None</t>
        </is>
      </c>
    </row>
    <row r="21" ht="25" customHeight="1">
      <c r="A21" s="14" t="n">
        <v>20</v>
      </c>
      <c r="B21" s="14" t="inlineStr">
        <is>
          <t>Search functionality</t>
        </is>
      </c>
      <c r="C21" s="14" t="inlineStr">
        <is>
          <t>100%</t>
        </is>
      </c>
      <c r="D21" s="14" t="inlineStr">
        <is>
          <t>100%</t>
        </is>
      </c>
      <c r="E21" s="15" t="inlineStr">
        <is>
          <t>PASS</t>
        </is>
      </c>
      <c r="F21" s="14" t="inlineStr">
        <is>
          <t>Search tests executed</t>
        </is>
      </c>
      <c r="G21" s="14" t="inlineStr">
        <is>
          <t>None</t>
        </is>
      </c>
    </row>
    <row r="22" ht="25" customHeight="1">
      <c r="A22" s="13" t="n">
        <v>21</v>
      </c>
      <c r="B22" s="13" t="inlineStr">
        <is>
          <t>Reporting accuracy</t>
        </is>
      </c>
      <c r="C22" s="13" t="inlineStr">
        <is>
          <t>100%</t>
        </is>
      </c>
      <c r="D22" s="13" t="inlineStr">
        <is>
          <t>95%</t>
        </is>
      </c>
      <c r="E22" s="17" t="inlineStr">
        <is>
          <t>PARTIAL</t>
        </is>
      </c>
      <c r="F22" s="13" t="inlineStr">
        <is>
          <t>Report data validation 95% complete</t>
        </is>
      </c>
      <c r="G22" s="13" t="inlineStr">
        <is>
          <t>Validate remaining edge cases</t>
        </is>
      </c>
    </row>
    <row r="23" ht="25" customHeight="1">
      <c r="A23" s="14" t="n">
        <v>22</v>
      </c>
      <c r="B23" s="14" t="inlineStr">
        <is>
          <t>Coupon/Discount logic</t>
        </is>
      </c>
      <c r="C23" s="14" t="inlineStr">
        <is>
          <t>100%</t>
        </is>
      </c>
      <c r="D23" s="14" t="inlineStr">
        <is>
          <t>100%</t>
        </is>
      </c>
      <c r="E23" s="15" t="inlineStr">
        <is>
          <t>PASS</t>
        </is>
      </c>
      <c r="F23" s="14" t="inlineStr">
        <is>
          <t>Comprehensive test coverage</t>
        </is>
      </c>
      <c r="G23" s="14" t="inlineStr">
        <is>
          <t>None</t>
        </is>
      </c>
    </row>
    <row r="24" ht="25" customHeight="1">
      <c r="A24" s="13" t="n">
        <v>23</v>
      </c>
      <c r="B24" s="13" t="inlineStr">
        <is>
          <t>Pass rate &gt;= 95%</t>
        </is>
      </c>
      <c r="C24" s="13" t="inlineStr">
        <is>
          <t>95%</t>
        </is>
      </c>
      <c r="D24" s="13" t="inlineStr">
        <is>
          <t>90%</t>
        </is>
      </c>
      <c r="E24" s="16" t="inlineStr">
        <is>
          <t>FAIL</t>
        </is>
      </c>
      <c r="F24" s="13" t="inlineStr">
        <is>
          <t>Currently at 90% pass rate</t>
        </is>
      </c>
      <c r="G24" s="13" t="inlineStr">
        <is>
          <t>Complete remaining test cases</t>
        </is>
      </c>
    </row>
    <row r="25" ht="25" customHeight="1">
      <c r="A25" s="14" t="n">
        <v>24</v>
      </c>
      <c r="B25" s="14" t="inlineStr">
        <is>
          <t>Requirements coverage &gt;= 90%</t>
        </is>
      </c>
      <c r="C25" s="14" t="inlineStr">
        <is>
          <t>90%</t>
        </is>
      </c>
      <c r="D25" s="14" t="inlineStr">
        <is>
          <t>84%</t>
        </is>
      </c>
      <c r="E25" s="13" t="inlineStr">
        <is>
          <t>AMBER</t>
        </is>
      </c>
      <c r="F25" s="14" t="inlineStr">
        <is>
          <t>Coverage at 84%</t>
        </is>
      </c>
      <c r="G25" s="14" t="inlineStr">
        <is>
          <t>Map remaining requirements</t>
        </is>
      </c>
    </row>
    <row r="26" ht="25" customHeight="1">
      <c r="A26" s="13" t="n">
        <v>25</v>
      </c>
      <c r="B26" s="13" t="inlineStr">
        <is>
          <t>UAT completion &gt;= 80%</t>
        </is>
      </c>
      <c r="C26" s="13" t="inlineStr">
        <is>
          <t>80%</t>
        </is>
      </c>
      <c r="D26" s="13" t="inlineStr">
        <is>
          <t>25%</t>
        </is>
      </c>
      <c r="E26" s="16" t="inlineStr">
        <is>
          <t>FAIL</t>
        </is>
      </c>
      <c r="F26" s="13" t="inlineStr">
        <is>
          <t>UAT only 25% complete</t>
        </is>
      </c>
      <c r="G26" s="13" t="inlineStr">
        <is>
          <t>Accelerate UAT execution</t>
        </is>
      </c>
    </row>
    <row r="27" ht="25" customHeight="1">
      <c r="A27" s="14" t="n">
        <v>26</v>
      </c>
      <c r="B27" s="14" t="inlineStr">
        <is>
          <t>Performance within target</t>
        </is>
      </c>
      <c r="C27" s="14" t="inlineStr">
        <is>
          <t>Within 5%</t>
        </is>
      </c>
      <c r="D27" s="14" t="inlineStr">
        <is>
          <t>Within 5%</t>
        </is>
      </c>
      <c r="E27" s="17" t="inlineStr">
        <is>
          <t>PARTIAL</t>
        </is>
      </c>
      <c r="F27" s="14" t="inlineStr">
        <is>
          <t>Page load time 5% above target</t>
        </is>
      </c>
      <c r="G27" s="14" t="inlineStr">
        <is>
          <t>Continue optimization</t>
        </is>
      </c>
    </row>
    <row r="28" ht="25" customHeight="1">
      <c r="A28" s="13" t="n">
        <v>27</v>
      </c>
      <c r="B28" s="13" t="inlineStr">
        <is>
          <t>Security vulnerabilities resolved</t>
        </is>
      </c>
      <c r="C28" s="13" t="inlineStr">
        <is>
          <t>0</t>
        </is>
      </c>
      <c r="D28" s="13" t="inlineStr">
        <is>
          <t>1</t>
        </is>
      </c>
      <c r="E28" s="16" t="inlineStr">
        <is>
          <t>FAIL</t>
        </is>
      </c>
      <c r="F28" s="13" t="inlineStr">
        <is>
          <t>XSS vulnerability pending</t>
        </is>
      </c>
      <c r="G28" s="13" t="inlineStr">
        <is>
          <t>Patch and validate by Sprint 7</t>
        </is>
      </c>
    </row>
    <row r="29" ht="25" customHeight="1">
      <c r="A29" s="14" t="n">
        <v>28</v>
      </c>
      <c r="B29" s="14" t="inlineStr">
        <is>
          <t>Defect resolution &gt;= 80%</t>
        </is>
      </c>
      <c r="C29" s="14" t="inlineStr">
        <is>
          <t>80%</t>
        </is>
      </c>
      <c r="D29" s="14" t="inlineStr">
        <is>
          <t>85%</t>
        </is>
      </c>
      <c r="E29" s="15" t="inlineStr">
        <is>
          <t>PASS</t>
        </is>
      </c>
      <c r="F29" s="14" t="inlineStr">
        <is>
          <t>Defect removal efficiency 87%</t>
        </is>
      </c>
      <c r="G29" s="14" t="inlineStr">
        <is>
          <t>None</t>
        </is>
      </c>
    </row>
    <row r="30" ht="25" customHeight="1">
      <c r="A30" s="13" t="n">
        <v>29</v>
      </c>
      <c r="B30" s="13" t="inlineStr">
        <is>
          <t>Risk mitigation &gt;= 80%</t>
        </is>
      </c>
      <c r="C30" s="13" t="inlineStr">
        <is>
          <t>80%</t>
        </is>
      </c>
      <c r="D30" s="13" t="inlineStr">
        <is>
          <t>79.2%</t>
        </is>
      </c>
      <c r="E30" s="17" t="inlineStr">
        <is>
          <t>PARTIAL</t>
        </is>
      </c>
      <c r="F30" s="13" t="inlineStr">
        <is>
          <t>Overall risk mitigation 79.2%</t>
        </is>
      </c>
      <c r="G30" s="13" t="inlineStr">
        <is>
          <t>Focus on Class C risks</t>
        </is>
      </c>
    </row>
    <row r="31" ht="25" customHeight="1">
      <c r="A31" s="14" t="n">
        <v>30</v>
      </c>
      <c r="B31" s="14" t="inlineStr">
        <is>
          <t>Smoke tests 100% pass</t>
        </is>
      </c>
      <c r="C31" s="14" t="inlineStr">
        <is>
          <t>100%</t>
        </is>
      </c>
      <c r="D31" s="14" t="inlineStr">
        <is>
          <t>68%</t>
        </is>
      </c>
      <c r="E31" s="17" t="inlineStr">
        <is>
          <t>PARTIAL</t>
        </is>
      </c>
      <c r="F31" s="14" t="inlineStr">
        <is>
          <t>Smoke test pass rate 68%</t>
        </is>
      </c>
      <c r="G31" s="14" t="inlineStr">
        <is>
          <t>Debug failing smoke tests</t>
        </is>
      </c>
    </row>
    <row r="32" ht="25" customHeight="1">
      <c r="A32" s="13" t="n">
        <v>31</v>
      </c>
      <c r="B32" s="13" t="inlineStr">
        <is>
          <t>Regression test execution</t>
        </is>
      </c>
      <c r="C32" s="13" t="inlineStr">
        <is>
          <t>100%</t>
        </is>
      </c>
      <c r="D32" s="13" t="inlineStr">
        <is>
          <t>80%</t>
        </is>
      </c>
      <c r="E32" s="17" t="inlineStr">
        <is>
          <t>PARTIAL</t>
        </is>
      </c>
      <c r="F32" s="13" t="inlineStr">
        <is>
          <t>Regression tests 80% executed</t>
        </is>
      </c>
      <c r="G32" s="13" t="inlineStr">
        <is>
          <t>Complete remaining regression tests</t>
        </is>
      </c>
    </row>
    <row r="33" ht="25" customHeight="1">
      <c r="A33" s="14" t="n">
        <v>32</v>
      </c>
      <c r="B33" s="14" t="inlineStr">
        <is>
          <t>Release notes prepared</t>
        </is>
      </c>
      <c r="C33" s="14" t="inlineStr">
        <is>
          <t>Complete</t>
        </is>
      </c>
      <c r="D33" s="14" t="inlineStr">
        <is>
          <t>Complete</t>
        </is>
      </c>
      <c r="E33" s="15" t="inlineStr">
        <is>
          <t>PASS</t>
        </is>
      </c>
      <c r="F33" s="14" t="inlineStr">
        <is>
          <t>Release notes published</t>
        </is>
      </c>
      <c r="G33" s="14" t="inlineStr">
        <is>
          <t>None</t>
        </is>
      </c>
    </row>
    <row r="34" ht="25" customHeight="1">
      <c r="A34" s="13" t="n">
        <v>33</v>
      </c>
      <c r="B34" s="13" t="inlineStr">
        <is>
          <t>Known issues documented</t>
        </is>
      </c>
      <c r="C34" s="13" t="inlineStr">
        <is>
          <t>Complete</t>
        </is>
      </c>
      <c r="D34" s="13" t="inlineStr">
        <is>
          <t>Complete</t>
        </is>
      </c>
      <c r="E34" s="15" t="inlineStr">
        <is>
          <t>PASS</t>
        </is>
      </c>
      <c r="F34" s="13" t="inlineStr">
        <is>
          <t>Known issues list finalized</t>
        </is>
      </c>
      <c r="G34" s="13" t="inlineStr">
        <is>
          <t>None</t>
        </is>
      </c>
    </row>
    <row r="35" ht="25" customHeight="1">
      <c r="A35" s="14" t="n">
        <v>34</v>
      </c>
      <c r="B35" s="14" t="inlineStr">
        <is>
          <t>Go/no-go approval</t>
        </is>
      </c>
      <c r="C35" s="14" t="inlineStr">
        <is>
          <t>Approved</t>
        </is>
      </c>
      <c r="D35" s="14" t="inlineStr">
        <is>
          <t>Conditional</t>
        </is>
      </c>
      <c r="E35" s="17" t="inlineStr">
        <is>
          <t>PARTIAL</t>
        </is>
      </c>
      <c r="F35" s="14" t="inlineStr">
        <is>
          <t>Conditional GO approved</t>
        </is>
      </c>
      <c r="G35" s="14" t="inlineStr">
        <is>
          <t>Resolve critical blockers</t>
        </is>
      </c>
    </row>
  </sheetData>
  <autoFilter ref="A1:G3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" customWidth="1" min="1" max="1"/>
    <col width="35" customWidth="1" min="2" max="2"/>
    <col width="25" customWidth="1" min="3" max="3"/>
    <col width="12" customWidth="1" min="4" max="4"/>
    <col width="18" customWidth="1" min="5" max="5"/>
    <col width="15" customWidth="1" min="6" max="6"/>
  </cols>
  <sheetData>
    <row r="1">
      <c r="A1" s="18" t="inlineStr">
        <is>
          <t>RELEASE RECOMMENDATION: CONDITIONAL GO</t>
        </is>
      </c>
    </row>
    <row r="2">
      <c r="A2" s="19" t="inlineStr">
        <is>
          <t>Recommendation</t>
        </is>
      </c>
      <c r="B2" s="20" t="inlineStr">
        <is>
          <t>CONDITIONAL GO</t>
        </is>
      </c>
    </row>
    <row r="3">
      <c r="A3" s="19" t="inlineStr">
        <is>
          <t>Confidence Level</t>
        </is>
      </c>
      <c r="B3" s="20" t="inlineStr">
        <is>
          <t>78%</t>
        </is>
      </c>
    </row>
    <row r="4">
      <c r="A4" s="19" t="inlineStr">
        <is>
          <t>Current Sprint</t>
        </is>
      </c>
      <c r="B4" s="20" t="inlineStr">
        <is>
          <t>Sprint 6 of 8</t>
        </is>
      </c>
    </row>
    <row r="5">
      <c r="A5" s="19" t="inlineStr">
        <is>
          <t>Projected Release</t>
        </is>
      </c>
      <c r="B5" s="20" t="inlineStr">
        <is>
          <t>End of Sprint 8 (2 weeks)</t>
        </is>
      </c>
    </row>
    <row r="6">
      <c r="A6" s="19" t="inlineStr">
        <is>
          <t>Key Blocker</t>
        </is>
      </c>
      <c r="B6" s="20" t="inlineStr">
        <is>
          <t>8 critical defects require resolution</t>
        </is>
      </c>
    </row>
    <row r="8">
      <c r="A8" s="21" t="inlineStr">
        <is>
          <t>CONDITIONS FOR RELEASE</t>
        </is>
      </c>
    </row>
    <row r="9">
      <c r="A9" s="22" t="inlineStr">
        <is>
          <t>Condition #</t>
        </is>
      </c>
      <c r="B9" s="22" t="inlineStr">
        <is>
          <t>Condition</t>
        </is>
      </c>
      <c r="C9" s="22" t="inlineStr">
        <is>
          <t>Owner</t>
        </is>
      </c>
      <c r="D9" s="22" t="inlineStr">
        <is>
          <t>Effort</t>
        </is>
      </c>
      <c r="E9" s="22" t="inlineStr">
        <is>
          <t>Target Date</t>
        </is>
      </c>
      <c r="F9" s="22" t="inlineStr">
        <is>
          <t>Status</t>
        </is>
      </c>
    </row>
    <row r="10">
      <c r="A10" s="7" t="n">
        <v>1</v>
      </c>
      <c r="B10" s="7" t="inlineStr">
        <is>
          <t>Resolve all 8 critical defects</t>
        </is>
      </c>
      <c r="C10" s="7" t="inlineStr">
        <is>
          <t>Dev Team - 3 engineers</t>
        </is>
      </c>
      <c r="D10" s="7" t="inlineStr">
        <is>
          <t>40 hours</t>
        </is>
      </c>
      <c r="E10" s="7" t="inlineStr">
        <is>
          <t>Sprint 7 (1 week)</t>
        </is>
      </c>
      <c r="F10" s="7" t="inlineStr">
        <is>
          <t>IN PROGRESS</t>
        </is>
      </c>
    </row>
    <row r="11">
      <c r="A11" s="8" t="n">
        <v>2</v>
      </c>
      <c r="B11" s="8" t="inlineStr">
        <is>
          <t>Patch XSS vulnerability</t>
        </is>
      </c>
      <c r="C11" s="8" t="inlineStr">
        <is>
          <t>Security Team</t>
        </is>
      </c>
      <c r="D11" s="8" t="inlineStr">
        <is>
          <t>8 hours</t>
        </is>
      </c>
      <c r="E11" s="8" t="inlineStr">
        <is>
          <t>Sprint 7 (3 days)</t>
        </is>
      </c>
      <c r="F11" s="8" t="inlineStr">
        <is>
          <t>IN PROGRESS</t>
        </is>
      </c>
    </row>
    <row r="12">
      <c r="A12" s="7" t="n">
        <v>3</v>
      </c>
      <c r="B12" s="7" t="inlineStr">
        <is>
          <t>Complete UAT for Payment/Checkout (80% min)</t>
        </is>
      </c>
      <c r="C12" s="7" t="inlineStr">
        <is>
          <t>QA + Business Team</t>
        </is>
      </c>
      <c r="D12" s="7" t="inlineStr">
        <is>
          <t>80 hours</t>
        </is>
      </c>
      <c r="E12" s="7" t="inlineStr">
        <is>
          <t>Sprint 7-8 (2 weeks)</t>
        </is>
      </c>
      <c r="F12" s="7" t="inlineStr">
        <is>
          <t>NOT STARTED</t>
        </is>
      </c>
    </row>
    <row r="13">
      <c r="A13" s="8" t="n">
        <v>4</v>
      </c>
      <c r="B13" s="8" t="inlineStr">
        <is>
          <t>Performance tuning for throughput target (500 TPS)</t>
        </is>
      </c>
      <c r="C13" s="8" t="inlineStr">
        <is>
          <t>Performance Team</t>
        </is>
      </c>
      <c r="D13" s="8" t="inlineStr">
        <is>
          <t>32 hours</t>
        </is>
      </c>
      <c r="E13" s="8" t="inlineStr">
        <is>
          <t>Sprint 8 (1 week)</t>
        </is>
      </c>
      <c r="F13" s="8" t="inlineStr">
        <is>
          <t>IN PROGRESS</t>
        </is>
      </c>
    </row>
  </sheetData>
  <autoFilter ref="A1:F13"/>
  <mergeCells count="2">
    <mergeCell ref="A8:F8"/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8" customWidth="1" min="3" max="3"/>
    <col width="12" customWidth="1" min="4" max="4"/>
    <col width="15" customWidth="1" min="5" max="5"/>
    <col width="25" customWidth="1" min="6" max="6"/>
    <col width="20" customWidth="1" min="7" max="7"/>
  </cols>
  <sheetData>
    <row r="1" ht="30" customHeight="1">
      <c r="A1" s="1" t="inlineStr">
        <is>
          <t>Risk ID</t>
        </is>
      </c>
      <c r="B1" s="1" t="inlineStr">
        <is>
          <t>Risk Description</t>
        </is>
      </c>
      <c r="C1" s="1" t="inlineStr">
        <is>
          <t>Class</t>
        </is>
      </c>
      <c r="D1" s="1" t="inlineStr">
        <is>
          <t>Mitigation %</t>
        </is>
      </c>
      <c r="E1" s="1" t="inlineStr">
        <is>
          <t>Status</t>
        </is>
      </c>
      <c r="F1" s="1" t="inlineStr">
        <is>
          <t>Test Evidence</t>
        </is>
      </c>
      <c r="G1" s="1" t="inlineStr">
        <is>
          <t>Residual Risk</t>
        </is>
      </c>
    </row>
    <row r="2" ht="35" customHeight="1">
      <c r="A2" s="13" t="inlineStr">
        <is>
          <t>RSK-001</t>
        </is>
      </c>
      <c r="B2" s="13" t="inlineStr">
        <is>
          <t>Payment data breach</t>
        </is>
      </c>
      <c r="C2" s="16" t="inlineStr">
        <is>
          <t>A</t>
        </is>
      </c>
      <c r="D2" s="13" t="n">
        <v>92</v>
      </c>
      <c r="E2" s="13" t="inlineStr">
        <is>
          <t>Mitigated</t>
        </is>
      </c>
      <c r="F2" s="13" t="inlineStr">
        <is>
          <t>PCI-DSS tests passed 10/12, pen test completed, encryption verified</t>
        </is>
      </c>
      <c r="G2" s="13" t="inlineStr">
        <is>
          <t>Low</t>
        </is>
      </c>
    </row>
    <row r="3" ht="35" customHeight="1">
      <c r="A3" s="14" t="inlineStr">
        <is>
          <t>RSK-002</t>
        </is>
      </c>
      <c r="B3" s="14" t="inlineStr">
        <is>
          <t>Order processing failure</t>
        </is>
      </c>
      <c r="C3" s="16" t="inlineStr">
        <is>
          <t>A</t>
        </is>
      </c>
      <c r="D3" s="14" t="n">
        <v>75</v>
      </c>
      <c r="E3" s="14" t="inlineStr">
        <is>
          <t>Partially Mitigated</t>
        </is>
      </c>
      <c r="F3" s="14" t="inlineStr">
        <is>
          <t>Transaction tests 85% complete, rollback verified, edge cases pending</t>
        </is>
      </c>
      <c r="G3" s="14" t="inlineStr">
        <is>
          <t>Medium</t>
        </is>
      </c>
    </row>
    <row r="4" ht="35" customHeight="1">
      <c r="A4" s="13" t="inlineStr">
        <is>
          <t>RSK-003</t>
        </is>
      </c>
      <c r="B4" s="13" t="inlineStr">
        <is>
          <t>Authentication bypass</t>
        </is>
      </c>
      <c r="C4" s="16" t="inlineStr">
        <is>
          <t>A</t>
        </is>
      </c>
      <c r="D4" s="13" t="n">
        <v>88</v>
      </c>
      <c r="E4" s="13" t="inlineStr">
        <is>
          <t>Mitigated</t>
        </is>
      </c>
      <c r="F4" s="13" t="inlineStr">
        <is>
          <t>OWASP auth tests passed, session management verified, 1 XSS pending</t>
        </is>
      </c>
      <c r="G4" s="13" t="inlineStr">
        <is>
          <t>Low</t>
        </is>
      </c>
    </row>
    <row r="5" ht="35" customHeight="1">
      <c r="A5" s="14" t="inlineStr">
        <is>
          <t>RSK-004</t>
        </is>
      </c>
      <c r="B5" s="14" t="inlineStr">
        <is>
          <t>Data loss during migration</t>
        </is>
      </c>
      <c r="C5" s="16" t="inlineStr">
        <is>
          <t>A</t>
        </is>
      </c>
      <c r="D5" s="14" t="n">
        <v>95</v>
      </c>
      <c r="E5" s="14" t="inlineStr">
        <is>
          <t>Mitigated</t>
        </is>
      </c>
      <c r="F5" s="14" t="inlineStr">
        <is>
          <t>Migration scripts tested, rollback verified, backup procedures tested</t>
        </is>
      </c>
      <c r="G5" s="14" t="inlineStr">
        <is>
          <t>Low</t>
        </is>
      </c>
    </row>
    <row r="6" ht="35" customHeight="1">
      <c r="A6" s="13" t="inlineStr">
        <is>
          <t>RSK-005</t>
        </is>
      </c>
      <c r="B6" s="13" t="inlineStr">
        <is>
          <t>Performance degradation under load</t>
        </is>
      </c>
      <c r="C6" s="16" t="inlineStr">
        <is>
          <t>A</t>
        </is>
      </c>
      <c r="D6" s="13" t="n">
        <v>70</v>
      </c>
      <c r="E6" s="13" t="inlineStr">
        <is>
          <t>Partially Mitigated</t>
        </is>
      </c>
      <c r="F6" s="13" t="inlineStr">
        <is>
          <t>Load tests at 80% target, stress test revealed bottleneck in cart service</t>
        </is>
      </c>
      <c r="G6" s="13" t="inlineStr">
        <is>
          <t>Medium</t>
        </is>
      </c>
    </row>
    <row r="7" ht="35" customHeight="1">
      <c r="A7" s="14" t="inlineStr">
        <is>
          <t>RSK-006</t>
        </is>
      </c>
      <c r="B7" s="14" t="inlineStr">
        <is>
          <t>Shopping cart calculation errors</t>
        </is>
      </c>
      <c r="C7" s="16" t="inlineStr">
        <is>
          <t>A</t>
        </is>
      </c>
      <c r="D7" s="14" t="n">
        <v>90</v>
      </c>
      <c r="E7" s="14" t="inlineStr">
        <is>
          <t>Mitigated</t>
        </is>
      </c>
      <c r="F7" s="14" t="inlineStr">
        <is>
          <t>BVA + EP comprehensive, tax calc verified, coupon edge cases covered</t>
        </is>
      </c>
      <c r="G7" s="14" t="inlineStr">
        <is>
          <t>Low</t>
        </is>
      </c>
    </row>
    <row r="8" ht="35" customHeight="1">
      <c r="A8" s="13" t="inlineStr">
        <is>
          <t>RSK-007</t>
        </is>
      </c>
      <c r="B8" s="13" t="inlineStr">
        <is>
          <t>Checkout process abandonment</t>
        </is>
      </c>
      <c r="C8" s="16" t="inlineStr">
        <is>
          <t>A</t>
        </is>
      </c>
      <c r="D8" s="13" t="n">
        <v>65</v>
      </c>
      <c r="E8" s="13" t="inlineStr">
        <is>
          <t>Partially Mitigated</t>
        </is>
      </c>
      <c r="F8" s="13" t="inlineStr">
        <is>
          <t>UX testing incomplete, 3 usability issues open</t>
        </is>
      </c>
      <c r="G8" s="13" t="inlineStr">
        <is>
          <t>Medium</t>
        </is>
      </c>
    </row>
    <row r="9" ht="35" customHeight="1">
      <c r="A9" s="14" t="inlineStr">
        <is>
          <t>RSK-008</t>
        </is>
      </c>
      <c r="B9" s="14" t="inlineStr">
        <is>
          <t>SQL injection vulnerability</t>
        </is>
      </c>
      <c r="C9" s="16" t="inlineStr">
        <is>
          <t>A</t>
        </is>
      </c>
      <c r="D9" s="14" t="n">
        <v>98</v>
      </c>
      <c r="E9" s="14" t="inlineStr">
        <is>
          <t>Mitigated</t>
        </is>
      </c>
      <c r="F9" s="14" t="inlineStr">
        <is>
          <t>All input fields parameterized, SQL injection tests passed, WAF configured</t>
        </is>
      </c>
      <c r="G9" s="14" t="inlineStr">
        <is>
          <t>Low</t>
        </is>
      </c>
    </row>
    <row r="10" ht="35" customHeight="1">
      <c r="A10" s="13" t="inlineStr">
        <is>
          <t>RSK-009</t>
        </is>
      </c>
      <c r="B10" s="13" t="inlineStr">
        <is>
          <t>Inventory sync failures</t>
        </is>
      </c>
      <c r="C10" s="16" t="inlineStr">
        <is>
          <t>A</t>
        </is>
      </c>
      <c r="D10" s="13" t="n">
        <v>72</v>
      </c>
      <c r="E10" s="13" t="inlineStr">
        <is>
          <t>Partially Mitigated</t>
        </is>
      </c>
      <c r="F10" s="13" t="inlineStr">
        <is>
          <t>Integration tests 86% complete, race condition under investigation</t>
        </is>
      </c>
      <c r="G10" s="13" t="inlineStr">
        <is>
          <t>Medium</t>
        </is>
      </c>
    </row>
    <row r="11" ht="35" customHeight="1">
      <c r="A11" s="14" t="inlineStr">
        <is>
          <t>RSK-010</t>
        </is>
      </c>
      <c r="B11" s="14" t="inlineStr">
        <is>
          <t>GDPR compliance failure</t>
        </is>
      </c>
      <c r="C11" s="16" t="inlineStr">
        <is>
          <t>A</t>
        </is>
      </c>
      <c r="D11" s="14" t="n">
        <v>85</v>
      </c>
      <c r="E11" s="14" t="inlineStr">
        <is>
          <t>Mitigated</t>
        </is>
      </c>
      <c r="F11" s="14" t="inlineStr">
        <is>
          <t>Data export/deletion tested, consent management verified, cookie compliance pending</t>
        </is>
      </c>
      <c r="G11" s="14" t="inlineStr">
        <is>
          <t>Low</t>
        </is>
      </c>
    </row>
    <row r="12" ht="35" customHeight="1">
      <c r="A12" s="13" t="inlineStr">
        <is>
          <t>RSK-011</t>
        </is>
      </c>
      <c r="B12" s="13" t="inlineStr">
        <is>
          <t>Multi-currency calculation errors</t>
        </is>
      </c>
      <c r="C12" s="16" t="inlineStr">
        <is>
          <t>A</t>
        </is>
      </c>
      <c r="D12" s="13" t="n">
        <v>80</v>
      </c>
      <c r="E12" s="13" t="inlineStr">
        <is>
          <t>Mitigated</t>
        </is>
      </c>
      <c r="F12" s="13" t="inlineStr">
        <is>
          <t>Core calculations verified, edge cases for rounding pending</t>
        </is>
      </c>
      <c r="G12" s="13" t="inlineStr">
        <is>
          <t>Low</t>
        </is>
      </c>
    </row>
    <row r="13" ht="35" customHeight="1">
      <c r="A13" s="14" t="inlineStr">
        <is>
          <t>RSK-012</t>
        </is>
      </c>
      <c r="B13" s="14" t="inlineStr">
        <is>
          <t>Email notification failures</t>
        </is>
      </c>
      <c r="C13" s="17" t="inlineStr">
        <is>
          <t>B</t>
        </is>
      </c>
      <c r="D13" s="14" t="n">
        <v>75</v>
      </c>
      <c r="E13" s="14" t="inlineStr">
        <is>
          <t>Mitigated</t>
        </is>
      </c>
      <c r="F13" s="14" t="inlineStr">
        <is>
          <t>Email template tests passed</t>
        </is>
      </c>
      <c r="G13" s="14" t="inlineStr">
        <is>
          <t>Low</t>
        </is>
      </c>
    </row>
    <row r="14" ht="35" customHeight="1">
      <c r="A14" s="13" t="inlineStr">
        <is>
          <t>RSK-013</t>
        </is>
      </c>
      <c r="B14" s="13" t="inlineStr">
        <is>
          <t>Search result relevance</t>
        </is>
      </c>
      <c r="C14" s="17" t="inlineStr">
        <is>
          <t>B</t>
        </is>
      </c>
      <c r="D14" s="13" t="n">
        <v>70</v>
      </c>
      <c r="E14" s="13" t="inlineStr">
        <is>
          <t>Mitigated</t>
        </is>
      </c>
      <c r="F14" s="13" t="inlineStr">
        <is>
          <t>Search tests 70% complete</t>
        </is>
      </c>
      <c r="G14" s="13" t="inlineStr">
        <is>
          <t>Medium</t>
        </is>
      </c>
    </row>
    <row r="15" ht="35" customHeight="1">
      <c r="A15" s="14" t="inlineStr">
        <is>
          <t>RSK-014</t>
        </is>
      </c>
      <c r="B15" s="14" t="inlineStr">
        <is>
          <t>Shipping rate calculation</t>
        </is>
      </c>
      <c r="C15" s="17" t="inlineStr">
        <is>
          <t>B</t>
        </is>
      </c>
      <c r="D15" s="14" t="n">
        <v>80</v>
      </c>
      <c r="E15" s="14" t="inlineStr">
        <is>
          <t>Mitigated</t>
        </is>
      </c>
      <c r="F15" s="14" t="inlineStr">
        <is>
          <t>Shipping module tests passed</t>
        </is>
      </c>
      <c r="G15" s="14" t="inlineStr">
        <is>
          <t>Low</t>
        </is>
      </c>
    </row>
    <row r="16" ht="35" customHeight="1">
      <c r="A16" s="13" t="inlineStr">
        <is>
          <t>RSK-015</t>
        </is>
      </c>
      <c r="B16" s="13" t="inlineStr">
        <is>
          <t>Tax jurisdiction handling</t>
        </is>
      </c>
      <c r="C16" s="17" t="inlineStr">
        <is>
          <t>B</t>
        </is>
      </c>
      <c r="D16" s="13" t="n">
        <v>78</v>
      </c>
      <c r="E16" s="13" t="inlineStr">
        <is>
          <t>Partially Mitigated</t>
        </is>
      </c>
      <c r="F16" s="13" t="inlineStr">
        <is>
          <t>Tax calc 78% tested</t>
        </is>
      </c>
      <c r="G16" s="13" t="inlineStr">
        <is>
          <t>Medium</t>
        </is>
      </c>
    </row>
    <row r="17" ht="35" customHeight="1">
      <c r="A17" s="14" t="inlineStr">
        <is>
          <t>RSK-016</t>
        </is>
      </c>
      <c r="B17" s="14" t="inlineStr">
        <is>
          <t>Admin dashboard authorization</t>
        </is>
      </c>
      <c r="C17" s="17" t="inlineStr">
        <is>
          <t>B</t>
        </is>
      </c>
      <c r="D17" s="14" t="n">
        <v>82</v>
      </c>
      <c r="E17" s="14" t="inlineStr">
        <is>
          <t>Mitigated</t>
        </is>
      </c>
      <c r="F17" s="14" t="inlineStr">
        <is>
          <t>Authorization tests passed</t>
        </is>
      </c>
      <c r="G17" s="14" t="inlineStr">
        <is>
          <t>Low</t>
        </is>
      </c>
    </row>
    <row r="18" ht="35" customHeight="1">
      <c r="A18" s="13" t="inlineStr">
        <is>
          <t>RSK-017</t>
        </is>
      </c>
      <c r="B18" s="13" t="inlineStr">
        <is>
          <t>Plugin compatibility</t>
        </is>
      </c>
      <c r="C18" s="17" t="inlineStr">
        <is>
          <t>B</t>
        </is>
      </c>
      <c r="D18" s="13" t="n">
        <v>65</v>
      </c>
      <c r="E18" s="13" t="inlineStr">
        <is>
          <t>Partially Mitigated</t>
        </is>
      </c>
      <c r="F18" s="13" t="inlineStr">
        <is>
          <t>65% of plugins tested</t>
        </is>
      </c>
      <c r="G18" s="13" t="inlineStr">
        <is>
          <t>Medium</t>
        </is>
      </c>
    </row>
    <row r="19" ht="35" customHeight="1">
      <c r="A19" s="14" t="inlineStr">
        <is>
          <t>RSK-026</t>
        </is>
      </c>
      <c r="B19" s="14" t="inlineStr">
        <is>
          <t>Browser-specific rendering</t>
        </is>
      </c>
      <c r="C19" s="15" t="inlineStr">
        <is>
          <t>C</t>
        </is>
      </c>
      <c r="D19" s="14" t="n">
        <v>60</v>
      </c>
      <c r="E19" s="14" t="inlineStr">
        <is>
          <t>Partially Mitigated</t>
        </is>
      </c>
      <c r="F19" s="14" t="inlineStr">
        <is>
          <t>4 browsers tested</t>
        </is>
      </c>
      <c r="G19" s="14" t="inlineStr">
        <is>
          <t>Low</t>
        </is>
      </c>
    </row>
    <row r="20" ht="35" customHeight="1">
      <c r="A20" s="13" t="inlineStr">
        <is>
          <t>RSK-027</t>
        </is>
      </c>
      <c r="B20" s="13" t="inlineStr">
        <is>
          <t>Print stylesheet formatting</t>
        </is>
      </c>
      <c r="C20" s="15" t="inlineStr">
        <is>
          <t>C</t>
        </is>
      </c>
      <c r="D20" s="13" t="n">
        <v>45</v>
      </c>
      <c r="E20" s="13" t="inlineStr">
        <is>
          <t>Partially Mitigated</t>
        </is>
      </c>
      <c r="F20" s="13" t="inlineStr">
        <is>
          <t>Print tests 45% done</t>
        </is>
      </c>
      <c r="G20" s="13" t="inlineStr">
        <is>
          <t>Medium</t>
        </is>
      </c>
    </row>
  </sheetData>
  <autoFilter ref="A1:G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Metric</t>
        </is>
      </c>
      <c r="B1" s="1" t="inlineStr">
        <is>
          <t>Sprint 1</t>
        </is>
      </c>
      <c r="C1" s="1" t="inlineStr">
        <is>
          <t>Sprint 2</t>
        </is>
      </c>
      <c r="D1" s="1" t="inlineStr">
        <is>
          <t>Sprint 3</t>
        </is>
      </c>
      <c r="E1" s="1" t="inlineStr">
        <is>
          <t>Sprint 4</t>
        </is>
      </c>
      <c r="F1" s="1" t="inlineStr">
        <is>
          <t>Sprint 5</t>
        </is>
      </c>
      <c r="G1" s="1" t="inlineStr">
        <is>
          <t>Sprint 6</t>
        </is>
      </c>
      <c r="H1" s="1" t="inlineStr">
        <is>
          <t>Trend</t>
        </is>
      </c>
    </row>
    <row r="2">
      <c r="A2" s="7" t="inlineStr">
        <is>
          <t>Velocity (TC/day)</t>
        </is>
      </c>
      <c r="B2" s="7" t="n">
        <v>45</v>
      </c>
      <c r="C2" s="7" t="n">
        <v>78</v>
      </c>
      <c r="D2" s="7" t="n">
        <v>105</v>
      </c>
      <c r="E2" s="7" t="n">
        <v>128</v>
      </c>
      <c r="F2" s="7" t="n">
        <v>135</v>
      </c>
      <c r="G2" s="7" t="n">
        <v>142</v>
      </c>
      <c r="H2" s="7" t="inlineStr">
        <is>
          <t>UP</t>
        </is>
      </c>
    </row>
    <row r="3">
      <c r="A3" s="8" t="inlineStr">
        <is>
          <t>Discovery Rate (/day)</t>
        </is>
      </c>
      <c r="B3" s="8" t="n">
        <v>0.8</v>
      </c>
      <c r="C3" s="8" t="n">
        <v>1.5</v>
      </c>
      <c r="D3" s="8" t="n">
        <v>2.8</v>
      </c>
      <c r="E3" s="8" t="n">
        <v>3.2</v>
      </c>
      <c r="F3" s="8" t="n">
        <v>2.5</v>
      </c>
      <c r="G3" s="8" t="n">
        <v>1.8</v>
      </c>
      <c r="H3" s="8" t="inlineStr">
        <is>
          <t>DOWN</t>
        </is>
      </c>
    </row>
    <row r="4">
      <c r="A4" s="7" t="inlineStr">
        <is>
          <t>Resolution Rate (/day)</t>
        </is>
      </c>
      <c r="B4" s="7" t="n">
        <v>0.3</v>
      </c>
      <c r="C4" s="7" t="n">
        <v>0.8</v>
      </c>
      <c r="D4" s="7" t="n">
        <v>1.5</v>
      </c>
      <c r="E4" s="7" t="n">
        <v>2.2</v>
      </c>
      <c r="F4" s="7" t="n">
        <v>2.8</v>
      </c>
      <c r="G4" s="7" t="n">
        <v>3.1</v>
      </c>
      <c r="H4" s="7" t="inlineStr">
        <is>
          <t>UP</t>
        </is>
      </c>
    </row>
    <row r="5">
      <c r="A5" s="8" t="inlineStr">
        <is>
          <t>Pass Rate (%)</t>
        </is>
      </c>
      <c r="B5" s="8" t="n">
        <v>96</v>
      </c>
      <c r="C5" s="8" t="n">
        <v>93</v>
      </c>
      <c r="D5" s="8" t="n">
        <v>88</v>
      </c>
      <c r="E5" s="8" t="n">
        <v>86</v>
      </c>
      <c r="F5" s="8" t="n">
        <v>89</v>
      </c>
      <c r="G5" s="8" t="n">
        <v>90</v>
      </c>
      <c r="H5" s="8" t="inlineStr">
        <is>
          <t>RECOVERING</t>
        </is>
      </c>
    </row>
    <row r="6">
      <c r="A6" s="7" t="inlineStr">
        <is>
          <t>Coverage (%)</t>
        </is>
      </c>
      <c r="B6" s="7" t="n">
        <v>15</v>
      </c>
      <c r="C6" s="7" t="n">
        <v>32</v>
      </c>
      <c r="D6" s="7" t="n">
        <v>48</v>
      </c>
      <c r="E6" s="7" t="n">
        <v>62</v>
      </c>
      <c r="F6" s="7" t="n">
        <v>74</v>
      </c>
      <c r="G6" s="7" t="n">
        <v>84</v>
      </c>
      <c r="H6" s="7" t="inlineStr">
        <is>
          <t>UP</t>
        </is>
      </c>
    </row>
    <row r="7">
      <c r="A7" s="8" t="inlineStr">
        <is>
          <t>Automation (%)</t>
        </is>
      </c>
      <c r="B7" s="8" t="n">
        <v>12</v>
      </c>
      <c r="C7" s="8" t="n">
        <v>22</v>
      </c>
      <c r="D7" s="8" t="n">
        <v>30</v>
      </c>
      <c r="E7" s="8" t="n">
        <v>36</v>
      </c>
      <c r="F7" s="8" t="n">
        <v>40</v>
      </c>
      <c r="G7" s="8" t="n">
        <v>42</v>
      </c>
      <c r="H7" s="8" t="inlineStr">
        <is>
          <t>UP</t>
        </is>
      </c>
    </row>
  </sheetData>
  <autoFilter ref="A1:H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5" customWidth="1" min="4" max="4"/>
  </cols>
  <sheetData>
    <row r="1">
      <c r="A1" s="1" t="inlineStr">
        <is>
          <t>Root Cause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Cumulative %</t>
        </is>
      </c>
    </row>
    <row r="2">
      <c r="A2" s="7" t="inlineStr">
        <is>
          <t>Input Validation</t>
        </is>
      </c>
      <c r="B2" s="7" t="n">
        <v>13</v>
      </c>
      <c r="C2" s="7" t="inlineStr">
        <is>
          <t>28%</t>
        </is>
      </c>
      <c r="D2" s="7" t="inlineStr">
        <is>
          <t>28%</t>
        </is>
      </c>
    </row>
    <row r="3">
      <c r="A3" s="8" t="inlineStr">
        <is>
          <t>Business Logic</t>
        </is>
      </c>
      <c r="B3" s="8" t="n">
        <v>10</v>
      </c>
      <c r="C3" s="8" t="inlineStr">
        <is>
          <t>22%</t>
        </is>
      </c>
      <c r="D3" s="8" t="inlineStr">
        <is>
          <t>50%</t>
        </is>
      </c>
    </row>
    <row r="4">
      <c r="A4" s="7" t="inlineStr">
        <is>
          <t>Integration/API</t>
        </is>
      </c>
      <c r="B4" s="7" t="n">
        <v>7</v>
      </c>
      <c r="C4" s="7" t="inlineStr">
        <is>
          <t>15%</t>
        </is>
      </c>
      <c r="D4" s="7" t="inlineStr">
        <is>
          <t>65%</t>
        </is>
      </c>
    </row>
    <row r="5">
      <c r="A5" s="8" t="inlineStr">
        <is>
          <t>UI/UX</t>
        </is>
      </c>
      <c r="B5" s="8" t="n">
        <v>6</v>
      </c>
      <c r="C5" s="8" t="inlineStr">
        <is>
          <t>13%</t>
        </is>
      </c>
      <c r="D5" s="8" t="inlineStr">
        <is>
          <t>78%</t>
        </is>
      </c>
    </row>
    <row r="6">
      <c r="A6" s="7" t="inlineStr">
        <is>
          <t>Performance</t>
        </is>
      </c>
      <c r="B6" s="7" t="n">
        <v>4</v>
      </c>
      <c r="C6" s="7" t="inlineStr">
        <is>
          <t>9%</t>
        </is>
      </c>
      <c r="D6" s="7" t="inlineStr">
        <is>
          <t>87%</t>
        </is>
      </c>
    </row>
    <row r="7">
      <c r="A7" s="8" t="inlineStr">
        <is>
          <t>Security</t>
        </is>
      </c>
      <c r="B7" s="8" t="n">
        <v>3</v>
      </c>
      <c r="C7" s="8" t="inlineStr">
        <is>
          <t>7%</t>
        </is>
      </c>
      <c r="D7" s="8" t="inlineStr">
        <is>
          <t>93%</t>
        </is>
      </c>
    </row>
    <row r="8">
      <c r="A8" s="7" t="inlineStr">
        <is>
          <t>Configuration</t>
        </is>
      </c>
      <c r="B8" s="7" t="n">
        <v>2</v>
      </c>
      <c r="C8" s="7" t="inlineStr">
        <is>
          <t>4%</t>
        </is>
      </c>
      <c r="D8" s="7" t="inlineStr">
        <is>
          <t>98%</t>
        </is>
      </c>
    </row>
    <row r="9">
      <c r="A9" s="8" t="inlineStr">
        <is>
          <t>Data</t>
        </is>
      </c>
      <c r="B9" s="8" t="n">
        <v>1</v>
      </c>
      <c r="C9" s="8" t="inlineStr">
        <is>
          <t>2%</t>
        </is>
      </c>
      <c r="D9" s="8" t="inlineStr">
        <is>
          <t>100%</t>
        </is>
      </c>
    </row>
  </sheetData>
  <autoFilter ref="A1:D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18" customWidth="1" min="5" max="5"/>
    <col width="12" customWidth="1" min="6" max="6"/>
  </cols>
  <sheetData>
    <row r="1" ht="30" customHeight="1">
      <c r="A1" s="1" t="inlineStr">
        <is>
          <t>Area</t>
        </is>
      </c>
      <c r="B1" s="1" t="inlineStr">
        <is>
          <t>What Went Well</t>
        </is>
      </c>
      <c r="C1" s="1" t="inlineStr">
        <is>
          <t>What Could Improve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Priority</t>
        </is>
      </c>
    </row>
    <row r="2" ht="45" customHeight="1">
      <c r="A2" s="13" t="inlineStr">
        <is>
          <t>Test Planning</t>
        </is>
      </c>
      <c r="B2" s="13" t="inlineStr">
        <is>
          <t>Early risk analysis saved 15% rework</t>
        </is>
      </c>
      <c r="C2" s="13" t="inlineStr">
        <is>
          <t>Estimation 30% under actual</t>
        </is>
      </c>
      <c r="D2" s="13" t="inlineStr">
        <is>
          <t>Use historical data + PERT</t>
        </is>
      </c>
      <c r="E2" s="13" t="inlineStr">
        <is>
          <t>QA Lead</t>
        </is>
      </c>
      <c r="F2" s="13" t="inlineStr">
        <is>
          <t>High</t>
        </is>
      </c>
    </row>
    <row r="3" ht="45" customHeight="1">
      <c r="A3" s="14" t="inlineStr">
        <is>
          <t>Test Design</t>
        </is>
      </c>
      <c r="B3" s="14" t="inlineStr">
        <is>
          <t>BVA/EP found 12 critical defects early</t>
        </is>
      </c>
      <c r="C3" s="14" t="inlineStr">
        <is>
          <t>Classification tree underused</t>
        </is>
      </c>
      <c r="D3" s="14" t="inlineStr">
        <is>
          <t>CTM training</t>
        </is>
      </c>
      <c r="E3" s="14" t="inlineStr">
        <is>
          <t>Test Lead</t>
        </is>
      </c>
      <c r="F3" s="14" t="inlineStr">
        <is>
          <t>Medium</t>
        </is>
      </c>
    </row>
    <row r="4" ht="45" customHeight="1">
      <c r="A4" s="13" t="inlineStr">
        <is>
          <t>Test Execution</t>
        </is>
      </c>
      <c r="B4" s="13" t="inlineStr">
        <is>
          <t>Automation saved 320 hours</t>
        </is>
      </c>
      <c r="C4" s="13" t="inlineStr">
        <is>
          <t>Manual regression still 58%</t>
        </is>
      </c>
      <c r="D4" s="13" t="inlineStr">
        <is>
          <t>Increase automation to 60%</t>
        </is>
      </c>
      <c r="E4" s="13" t="inlineStr">
        <is>
          <t>Auto Engineer</t>
        </is>
      </c>
      <c r="F4" s="13" t="inlineStr">
        <is>
          <t>High</t>
        </is>
      </c>
    </row>
    <row r="5" ht="45" customHeight="1">
      <c r="A5" s="14" t="inlineStr">
        <is>
          <t>Environment</t>
        </is>
      </c>
      <c r="B5" s="14" t="inlineStr">
        <is>
          <t>Docker standardization improved consistency</t>
        </is>
      </c>
      <c r="C5" s="14" t="inlineStr">
        <is>
          <t>Sprint 3 outage cost 5 days</t>
        </is>
      </c>
      <c r="D5" s="14" t="inlineStr">
        <is>
          <t>Add environment monitoring</t>
        </is>
      </c>
      <c r="E5" s="14" t="inlineStr">
        <is>
          <t>DevOps</t>
        </is>
      </c>
      <c r="F5" s="14" t="inlineStr">
        <is>
          <t>Critical</t>
        </is>
      </c>
    </row>
    <row r="6" ht="45" customHeight="1">
      <c r="A6" s="13" t="inlineStr">
        <is>
          <t>Defect Management</t>
        </is>
      </c>
      <c r="B6" s="13" t="inlineStr">
        <is>
          <t>Triage meetings effective (daily)</t>
        </is>
      </c>
      <c r="C6" s="13" t="inlineStr">
        <is>
          <t>Defect age &gt; 14 days for 5 defects</t>
        </is>
      </c>
      <c r="D6" s="13" t="inlineStr">
        <is>
          <t>Escalation policy enforcement</t>
        </is>
      </c>
      <c r="E6" s="13" t="inlineStr">
        <is>
          <t>QA Manager</t>
        </is>
      </c>
      <c r="F6" s="13" t="inlineStr">
        <is>
          <t>High</t>
        </is>
      </c>
    </row>
    <row r="7" ht="45" customHeight="1">
      <c r="A7" s="14" t="inlineStr">
        <is>
          <t>Stakeholder Mgmt</t>
        </is>
      </c>
      <c r="B7" s="14" t="inlineStr">
        <is>
          <t>Weekly demos increased confidence</t>
        </is>
      </c>
      <c r="C7" s="14" t="inlineStr">
        <is>
          <t>UAT started late (Sprint 6)</t>
        </is>
      </c>
      <c r="D7" s="14" t="inlineStr">
        <is>
          <t>Earlier UAT engagement</t>
        </is>
      </c>
      <c r="E7" s="14" t="inlineStr">
        <is>
          <t>PO</t>
        </is>
      </c>
      <c r="F7" s="14" t="inlineStr">
        <is>
          <t>Medium</t>
        </is>
      </c>
    </row>
    <row r="8" ht="45" customHeight="1">
      <c r="A8" s="13" t="inlineStr">
        <is>
          <t>Security Testing</t>
        </is>
      </c>
      <c r="B8" s="13" t="inlineStr">
        <is>
          <t>OWASP coverage 9/10</t>
        </is>
      </c>
      <c r="C8" s="13" t="inlineStr">
        <is>
          <t>XSS found late (Sprint 5)</t>
        </is>
      </c>
      <c r="D8" s="13" t="inlineStr">
        <is>
          <t>Shift-left security testing</t>
        </is>
      </c>
      <c r="E8" s="13" t="inlineStr">
        <is>
          <t>Sec Lead</t>
        </is>
      </c>
      <c r="F8" s="13" t="inlineStr">
        <is>
          <t>High</t>
        </is>
      </c>
    </row>
    <row r="9" ht="45" customHeight="1">
      <c r="A9" s="14" t="inlineStr">
        <is>
          <t>Performance</t>
        </is>
      </c>
      <c r="B9" s="14" t="inlineStr">
        <is>
          <t>Load testing found cart bottleneck</t>
        </is>
      </c>
      <c r="C9" s="14" t="inlineStr">
        <is>
          <t>Stress testing started Sprint 5</t>
        </is>
      </c>
      <c r="D9" s="14" t="inlineStr">
        <is>
          <t>Performance testing from Sprint 2</t>
        </is>
      </c>
      <c r="E9" s="14" t="inlineStr">
        <is>
          <t>Perf Engineer</t>
        </is>
      </c>
      <c r="F9" s="14" t="inlineStr">
        <is>
          <t>Medium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2026-04-06T12:31:18Z</dcterms:created>
  <dcterms:modified xmlns:dcterms="http://purl.org/dc/terms/" xmlns:xsi="http://www.w3.org/2001/XMLSchema-instance" xsi:type="dcterms:W3CDTF">2026-04-06T12:31:18Z</dcterms:modified>
</cp:coreProperties>
</file>